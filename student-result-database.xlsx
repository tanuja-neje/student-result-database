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 firstSheet="4" activeTab="8"/>
  </bookViews>
  <sheets>
    <sheet name="Top 5 Students" sheetId="2" r:id="rId1"/>
    <sheet name="Average students" sheetId="4" r:id="rId2"/>
    <sheet name=" highest performing state" sheetId="9" r:id="rId3"/>
    <sheet name="State student coming from" sheetId="10" r:id="rId4"/>
    <sheet name="Subject" sheetId="11" r:id="rId5"/>
    <sheet name="marks above 90" sheetId="14" r:id="rId6"/>
    <sheet name="Student Database" sheetId="1" r:id="rId7"/>
    <sheet name="Report" sheetId="3" r:id="rId8"/>
    <sheet name="Insights" sheetId="16" r:id="rId9"/>
  </sheets>
  <definedNames>
    <definedName name="Slicer_Rank_Students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<sst xmlns="http://schemas.openxmlformats.org/spreadsheetml/2006/main" count="241" uniqueCount="151">
  <si>
    <t>Name</t>
  </si>
  <si>
    <t>Sum of Total Marks</t>
  </si>
  <si>
    <t>Abhishek Koli</t>
  </si>
  <si>
    <t>Ajay Singh</t>
  </si>
  <si>
    <t>Amit verma</t>
  </si>
  <si>
    <t>Anjali Pawar</t>
  </si>
  <si>
    <t>Tanvi Patil</t>
  </si>
  <si>
    <t>Student Id</t>
  </si>
  <si>
    <t>Sum of Average Marks</t>
  </si>
  <si>
    <t>A001</t>
  </si>
  <si>
    <t>A002</t>
  </si>
  <si>
    <t>A017</t>
  </si>
  <si>
    <t>A020</t>
  </si>
  <si>
    <t>A022</t>
  </si>
  <si>
    <t>A026</t>
  </si>
  <si>
    <t>A027</t>
  </si>
  <si>
    <t>A035</t>
  </si>
  <si>
    <t>A036</t>
  </si>
  <si>
    <t>A048</t>
  </si>
  <si>
    <t>States</t>
  </si>
  <si>
    <t>arunachal Pradesh</t>
  </si>
  <si>
    <t>Bihar</t>
  </si>
  <si>
    <t>Goa</t>
  </si>
  <si>
    <t>Gujrat</t>
  </si>
  <si>
    <t>Karnataka</t>
  </si>
  <si>
    <t>Kerla</t>
  </si>
  <si>
    <t>Maharashtra</t>
  </si>
  <si>
    <t>Manipur</t>
  </si>
  <si>
    <t>Mizorom</t>
  </si>
  <si>
    <t>Odisha</t>
  </si>
  <si>
    <t>Punjab</t>
  </si>
  <si>
    <t>Sikkim</t>
  </si>
  <si>
    <t>Tamil Nadu</t>
  </si>
  <si>
    <t>(blank)</t>
  </si>
  <si>
    <t>Count of Student Id</t>
  </si>
  <si>
    <t>Average of Math</t>
  </si>
  <si>
    <t>Average of Computer Science</t>
  </si>
  <si>
    <t>Average of English</t>
  </si>
  <si>
    <t>Above 90% students</t>
  </si>
  <si>
    <t>Math</t>
  </si>
  <si>
    <t>Computer Science</t>
  </si>
  <si>
    <t>English</t>
  </si>
  <si>
    <t>Total Marks</t>
  </si>
  <si>
    <t>Average Marks</t>
  </si>
  <si>
    <t>Rank Students</t>
  </si>
  <si>
    <t>A003</t>
  </si>
  <si>
    <t>Pooja Kumbar</t>
  </si>
  <si>
    <t>A004</t>
  </si>
  <si>
    <t>Aishwarya Singh</t>
  </si>
  <si>
    <t>A005</t>
  </si>
  <si>
    <t>Pawan Singh</t>
  </si>
  <si>
    <t>A006</t>
  </si>
  <si>
    <t>Deepak Sutar</t>
  </si>
  <si>
    <t>A007</t>
  </si>
  <si>
    <t>Nia Jain</t>
  </si>
  <si>
    <t>A008</t>
  </si>
  <si>
    <t>Sofia Nadaf</t>
  </si>
  <si>
    <t>A009</t>
  </si>
  <si>
    <t>Virat Kumar</t>
  </si>
  <si>
    <t>A010</t>
  </si>
  <si>
    <t>Jeevika Raina</t>
  </si>
  <si>
    <t>A011</t>
  </si>
  <si>
    <t>Jay Basu</t>
  </si>
  <si>
    <t>A012</t>
  </si>
  <si>
    <t>Diya Kapoor</t>
  </si>
  <si>
    <t>A013</t>
  </si>
  <si>
    <t>Simaran Khan</t>
  </si>
  <si>
    <t>A014</t>
  </si>
  <si>
    <t>Sahil Roy</t>
  </si>
  <si>
    <t>A015</t>
  </si>
  <si>
    <t>Deepti sutar</t>
  </si>
  <si>
    <t>A016</t>
  </si>
  <si>
    <t>Dinesh Bagwaan</t>
  </si>
  <si>
    <t>Abishek Mehra</t>
  </si>
  <si>
    <t>A018</t>
  </si>
  <si>
    <t>Lakshy Sighaniyan</t>
  </si>
  <si>
    <t>A019</t>
  </si>
  <si>
    <t>akshra Maheshwari</t>
  </si>
  <si>
    <t>Keerti Goenka</t>
  </si>
  <si>
    <t>A021</t>
  </si>
  <si>
    <t>Purvi Arora</t>
  </si>
  <si>
    <t>Divyanka Tripati</t>
  </si>
  <si>
    <t>A023</t>
  </si>
  <si>
    <t>Aditya Basu</t>
  </si>
  <si>
    <t>A024</t>
  </si>
  <si>
    <t>Rahul Khanna</t>
  </si>
  <si>
    <t>A025</t>
  </si>
  <si>
    <t>Rohit Kapoor</t>
  </si>
  <si>
    <t>Akshay Kumar</t>
  </si>
  <si>
    <t>A028</t>
  </si>
  <si>
    <t>Jyooti Sinaha</t>
  </si>
  <si>
    <t>A029</t>
  </si>
  <si>
    <t>Jeeva sehgal</t>
  </si>
  <si>
    <t>A030</t>
  </si>
  <si>
    <t>Mohammed Patel</t>
  </si>
  <si>
    <t>A031</t>
  </si>
  <si>
    <t>Priya Sharma</t>
  </si>
  <si>
    <t>A032</t>
  </si>
  <si>
    <t>Deepak Reddy</t>
  </si>
  <si>
    <t>A033</t>
  </si>
  <si>
    <t>Jeevan Verma</t>
  </si>
  <si>
    <t>A034</t>
  </si>
  <si>
    <t>Anjali Rao</t>
  </si>
  <si>
    <t>Neha Sharma</t>
  </si>
  <si>
    <t>A037</t>
  </si>
  <si>
    <t>Anushka Pandey</t>
  </si>
  <si>
    <t>A038</t>
  </si>
  <si>
    <t>Zoya Siddiqui</t>
  </si>
  <si>
    <t>A039</t>
  </si>
  <si>
    <t>Armaan Malik</t>
  </si>
  <si>
    <t>A040</t>
  </si>
  <si>
    <t>Vijay Verma</t>
  </si>
  <si>
    <t>A041</t>
  </si>
  <si>
    <t>Anuj Singh</t>
  </si>
  <si>
    <t>A042</t>
  </si>
  <si>
    <t>Shraddha Kapoor</t>
  </si>
  <si>
    <t>A043</t>
  </si>
  <si>
    <t>Sidharth Malhotra</t>
  </si>
  <si>
    <t>A044</t>
  </si>
  <si>
    <t>Shilpa Shetty</t>
  </si>
  <si>
    <t>A045</t>
  </si>
  <si>
    <t>Roshan Bedi</t>
  </si>
  <si>
    <t>A046</t>
  </si>
  <si>
    <t>Salman Ali</t>
  </si>
  <si>
    <t>A047</t>
  </si>
  <si>
    <t>Reena Nair</t>
  </si>
  <si>
    <t>A049</t>
  </si>
  <si>
    <t>Jeet Patel</t>
  </si>
  <si>
    <t>A050</t>
  </si>
  <si>
    <t>Rahul Desai</t>
  </si>
  <si>
    <t>A051</t>
  </si>
  <si>
    <t>Kiran Mehta</t>
  </si>
  <si>
    <t>A052</t>
  </si>
  <si>
    <t>Siddu Gowda</t>
  </si>
  <si>
    <t>A053</t>
  </si>
  <si>
    <t>Amit Shah</t>
  </si>
  <si>
    <t>Student-Result-Dataset-Report</t>
  </si>
  <si>
    <t>Insights</t>
  </si>
  <si>
    <t>1.Elite performance :The Top 5 Students are highly competitive,with total scores ranging closely between 286 and 290.This indicates a very high level of acadamic excellence at the</t>
  </si>
  <si>
    <t>top of the class.</t>
  </si>
  <si>
    <t>2.Subject Strengths : Mathematics shows the highest average performance (88.7), foll</t>
  </si>
  <si>
    <t>followed closely by English,Computer Science has the lowest average,suggesting it may be a more</t>
  </si>
  <si>
    <t>challenging subject for the majority of students.</t>
  </si>
  <si>
    <t>3.High Achievers Ratio : Approximately 64% of the student body is scoring above 90 marks.this is very strong performance indicator for the institution,showing that more than half the</t>
  </si>
  <si>
    <t>the class is in the top tier.</t>
  </si>
  <si>
    <t>4.Regional Leaders : Students from Punjab and Karnataka are leading in total marks,indicating strong educational outcomes from these specific states.</t>
  </si>
  <si>
    <t>5.Top 10 Average Consistency : The "Top 10 Average Students " pie chart shows a very balanced distribution (roughly 9-11% each),meaning there isn't one single student dominating the rest;rather</t>
  </si>
  <si>
    <t>there is a large group of high-performing peers.</t>
  </si>
  <si>
    <t>Conclusion</t>
  </si>
  <si>
    <t>The Student Database Report demonstrate that the overall academic health of the student body is excellent, with a significant majority ( 64%) meeting high performance benchmark.</t>
  </si>
  <si>
    <t>While Mathematics is a clear area of strength across all regions, the lower average in Computer Science peovides a stategic opportunity for targeted academic support or curriculam review.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</si>
</sst>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[Student-database.xlasx.xlsx]Top 5 Students!PivotTable2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Students</a:t>
            </a:r>
          </a:p>
        </c:rich>
      </c:tx>
      <c:layout>
        <c:manualLayout>
          <c:xMode val="edge"/>
          <c:yMode val="edge"/>
          <c:x val="0.0584868421052632"/>
          <c:y val="0.03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23482022507131"/>
          <c:y val="0.219112769485904"/>
          <c:w val="0.759210526315789"/>
          <c:h val="0.624166666666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5 Students'!$B$3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Students'!$A$4:$A$8</c:f>
              <c:strCache>
                <c:ptCount val="5"/>
                <c:pt idx="0">
                  <c:v>Abhishek Koli</c:v>
                </c:pt>
                <c:pt idx="1">
                  <c:v>Ajay Singh</c:v>
                </c:pt>
                <c:pt idx="2">
                  <c:v>Amit verma</c:v>
                </c:pt>
                <c:pt idx="3">
                  <c:v>Anjali Pawar</c:v>
                </c:pt>
                <c:pt idx="4">
                  <c:v>Tanvi Patil</c:v>
                </c:pt>
              </c:strCache>
            </c:strRef>
          </c:cat>
          <c:val>
            <c:numRef>
              <c:f>'Top 5 Students'!$B$4:$B$8</c:f>
              <c:numCache>
                <c:formatCode>General</c:formatCode>
                <c:ptCount val="5"/>
                <c:pt idx="0">
                  <c:v>290</c:v>
                </c:pt>
                <c:pt idx="1">
                  <c:v>287</c:v>
                </c:pt>
                <c:pt idx="2">
                  <c:v>289</c:v>
                </c:pt>
                <c:pt idx="3">
                  <c:v>287</c:v>
                </c:pt>
                <c:pt idx="4">
                  <c:v>286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5681006"/>
        <c:axId val="529200341"/>
      </c:barChart>
      <c:catAx>
        <c:axId val="156810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200341"/>
        <c:crosses val="autoZero"/>
        <c:auto val="1"/>
        <c:lblAlgn val="ctr"/>
        <c:lblOffset val="100"/>
        <c:noMultiLvlLbl val="0"/>
      </c:catAx>
      <c:valAx>
        <c:axId val="52920034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81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7885646217987"/>
          <c:y val="0.0746268656716418"/>
          <c:w val="0.170394736842105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8a3707-8e0c-4396-aa0d-bd0cffa64efb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[Student-database.xlasx.xlsx]Average students!PivotTable3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Average Students</a:t>
            </a:r>
          </a:p>
        </c:rich>
      </c:tx>
      <c:layout>
        <c:manualLayout>
          <c:xMode val="edge"/>
          <c:yMode val="edge"/>
          <c:x val="0.0372925786419627"/>
          <c:y val="0.008810572687224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6973684210526"/>
          <c:y val="0.22337962962963"/>
          <c:w val="0.287368421052632"/>
          <c:h val="0.505555555555556"/>
        </c:manualLayout>
      </c:layout>
      <c:pieChart>
        <c:varyColors val="1"/>
        <c:ser>
          <c:idx val="0"/>
          <c:order val="0"/>
          <c:tx>
            <c:strRef>
              <c:f>'Average students'!$B$3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-0.00290135396518375"/>
                  <c:y val="0.022026431718061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0174081237911025"/>
                  <c:y val="0.01492042440318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0"/>
                  <c:y val="0.02643171806167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students'!$A$4:$A$13</c:f>
              <c:strCache>
                <c:ptCount val="10"/>
                <c:pt idx="0">
                  <c:v>A001</c:v>
                </c:pt>
                <c:pt idx="1">
                  <c:v>A002</c:v>
                </c:pt>
                <c:pt idx="2">
                  <c:v>A017</c:v>
                </c:pt>
                <c:pt idx="3">
                  <c:v>A020</c:v>
                </c:pt>
                <c:pt idx="4">
                  <c:v>A022</c:v>
                </c:pt>
                <c:pt idx="5">
                  <c:v>A026</c:v>
                </c:pt>
                <c:pt idx="6">
                  <c:v>A027</c:v>
                </c:pt>
                <c:pt idx="7">
                  <c:v>A035</c:v>
                </c:pt>
                <c:pt idx="8">
                  <c:v>A036</c:v>
                </c:pt>
                <c:pt idx="9">
                  <c:v>A048</c:v>
                </c:pt>
              </c:strCache>
            </c:strRef>
          </c:cat>
          <c:val>
            <c:numRef>
              <c:f>'Average students'!$B$4:$B$13</c:f>
              <c:numCache>
                <c:formatCode>General</c:formatCode>
                <c:ptCount val="10"/>
                <c:pt idx="0">
                  <c:v>96.6666666666667</c:v>
                </c:pt>
                <c:pt idx="1">
                  <c:v>95.3333333333333</c:v>
                </c:pt>
                <c:pt idx="2">
                  <c:v>93</c:v>
                </c:pt>
                <c:pt idx="3">
                  <c:v>94.6666666666667</c:v>
                </c:pt>
                <c:pt idx="4">
                  <c:v>93</c:v>
                </c:pt>
                <c:pt idx="5">
                  <c:v>93.3333333333333</c:v>
                </c:pt>
                <c:pt idx="6">
                  <c:v>95.6666666666667</c:v>
                </c:pt>
                <c:pt idx="7">
                  <c:v>96.3333333333333</c:v>
                </c:pt>
                <c:pt idx="8">
                  <c:v>93.3333333333333</c:v>
                </c:pt>
                <c:pt idx="9">
                  <c:v>95.6666666666667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ee577a8-db5c-4d8d-84ea-af7731265681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 highest performing state!PivotTable4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 : higest performing student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highest performing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highest performing state'!$A$4:$A$17</c:f>
              <c:strCache>
                <c:ptCount val="14"/>
                <c:pt idx="0">
                  <c:v>arunachal Pradesh</c:v>
                </c:pt>
                <c:pt idx="1">
                  <c:v>Bihar</c:v>
                </c:pt>
                <c:pt idx="2">
                  <c:v>Goa</c:v>
                </c:pt>
                <c:pt idx="3">
                  <c:v>Gujrat</c:v>
                </c:pt>
                <c:pt idx="4">
                  <c:v>Karnataka</c:v>
                </c:pt>
                <c:pt idx="5">
                  <c:v>Kerla</c:v>
                </c:pt>
                <c:pt idx="6">
                  <c:v>Maharashtra</c:v>
                </c:pt>
                <c:pt idx="7">
                  <c:v>Manipur</c:v>
                </c:pt>
                <c:pt idx="8">
                  <c:v>Mizorom</c:v>
                </c:pt>
                <c:pt idx="9">
                  <c:v>Odisha</c:v>
                </c:pt>
                <c:pt idx="10">
                  <c:v>Punjab</c:v>
                </c:pt>
                <c:pt idx="11">
                  <c:v>Sikkim</c:v>
                </c:pt>
                <c:pt idx="12">
                  <c:v>Tamil Nadu</c:v>
                </c:pt>
                <c:pt idx="13">
                  <c:v>(blank)</c:v>
                </c:pt>
              </c:strCache>
            </c:strRef>
          </c:cat>
          <c:val>
            <c:numRef>
              <c:f>' highest performing state'!$B$4:$B$17</c:f>
              <c:numCache>
                <c:formatCode>General</c:formatCode>
                <c:ptCount val="14"/>
                <c:pt idx="0">
                  <c:v>270</c:v>
                </c:pt>
                <c:pt idx="1">
                  <c:v>2126</c:v>
                </c:pt>
                <c:pt idx="2">
                  <c:v>795</c:v>
                </c:pt>
                <c:pt idx="3">
                  <c:v>1365</c:v>
                </c:pt>
                <c:pt idx="4">
                  <c:v>2902</c:v>
                </c:pt>
                <c:pt idx="5">
                  <c:v>1093</c:v>
                </c:pt>
                <c:pt idx="6">
                  <c:v>2107</c:v>
                </c:pt>
                <c:pt idx="7">
                  <c:v>284</c:v>
                </c:pt>
                <c:pt idx="8">
                  <c:v>261</c:v>
                </c:pt>
                <c:pt idx="9">
                  <c:v>1338</c:v>
                </c:pt>
                <c:pt idx="10">
                  <c:v>227</c:v>
                </c:pt>
                <c:pt idx="11">
                  <c:v>280</c:v>
                </c:pt>
                <c:pt idx="12">
                  <c:v>1015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2350693"/>
        <c:axId val="585628386"/>
      </c:barChart>
      <c:catAx>
        <c:axId val="28235069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628386"/>
        <c:crosses val="autoZero"/>
        <c:auto val="1"/>
        <c:lblAlgn val="ctr"/>
        <c:lblOffset val="100"/>
        <c:noMultiLvlLbl val="0"/>
      </c:catAx>
      <c:valAx>
        <c:axId val="5856283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3506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f0e712-1831-4e11-b62f-1c73094a3f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[Student-database.xlasx.xlsx]State student coming from!PivotTable5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i="1"/>
              <a:t>State : Student coming from</a:t>
            </a:r>
            <a:endParaRPr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137548074443"/>
          <c:y val="0.196319018404908"/>
          <c:w val="0.676668827368296"/>
          <c:h val="0.430953708867819"/>
        </c:manualLayout>
      </c:layout>
      <c:lineChart>
        <c:grouping val="standard"/>
        <c:varyColors val="0"/>
        <c:ser>
          <c:idx val="0"/>
          <c:order val="0"/>
          <c:tx>
            <c:strRef>
              <c:f>'State student coming from'!$B$3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'State student coming from'!$A$4:$A$17</c:f>
              <c:strCache>
                <c:ptCount val="14"/>
                <c:pt idx="0">
                  <c:v>arunachal Pradesh</c:v>
                </c:pt>
                <c:pt idx="1">
                  <c:v>Bihar</c:v>
                </c:pt>
                <c:pt idx="2">
                  <c:v>Goa</c:v>
                </c:pt>
                <c:pt idx="3">
                  <c:v>Gujrat</c:v>
                </c:pt>
                <c:pt idx="4">
                  <c:v>Karnataka</c:v>
                </c:pt>
                <c:pt idx="5">
                  <c:v>Kerla</c:v>
                </c:pt>
                <c:pt idx="6">
                  <c:v>Maharashtra</c:v>
                </c:pt>
                <c:pt idx="7">
                  <c:v>Manipur</c:v>
                </c:pt>
                <c:pt idx="8">
                  <c:v>Mizorom</c:v>
                </c:pt>
                <c:pt idx="9">
                  <c:v>Odisha</c:v>
                </c:pt>
                <c:pt idx="10">
                  <c:v>Punjab</c:v>
                </c:pt>
                <c:pt idx="11">
                  <c:v>Sikkim</c:v>
                </c:pt>
                <c:pt idx="12">
                  <c:v>Tamil Nadu</c:v>
                </c:pt>
                <c:pt idx="13">
                  <c:v>(blank)</c:v>
                </c:pt>
              </c:strCache>
            </c:strRef>
          </c:cat>
          <c:val>
            <c:numRef>
              <c:f>'State student coming from'!$B$4:$B$17</c:f>
              <c:numCache>
                <c:formatCode>General</c:formatCode>
                <c:ptCount val="14"/>
                <c:pt idx="0">
                  <c:v>1</c:v>
                </c:pt>
                <c:pt idx="1">
                  <c:v>8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  <c:pt idx="5">
                  <c:v>4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230087"/>
        <c:axId val="17646799"/>
      </c:lineChart>
      <c:catAx>
        <c:axId val="970230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46799"/>
        <c:crosses val="autoZero"/>
        <c:auto val="1"/>
        <c:lblAlgn val="ctr"/>
        <c:lblOffset val="100"/>
        <c:noMultiLvlLbl val="0"/>
      </c:catAx>
      <c:valAx>
        <c:axId val="176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230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3e22da-6516-40a6-ae97-5023c743681b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 i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[Student-database.xlasx.xlsx]Subject!PivotTable6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Subject : highest average score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89473684210526"/>
          <c:y val="0.371527777777778"/>
          <c:w val="0.794736842105263"/>
          <c:h val="0.516527777777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Subject!$A$3</c:f>
              <c:strCache>
                <c:ptCount val="1"/>
                <c:pt idx="0">
                  <c:v>Average of Math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Subject!$A$4</c:f>
              <c:numCache>
                <c:formatCode>General</c:formatCode>
                <c:ptCount val="1"/>
                <c:pt idx="0">
                  <c:v>88.7358490566038</c:v>
                </c:pt>
              </c:numCache>
            </c:numRef>
          </c:val>
        </c:ser>
        <c:ser>
          <c:idx val="1"/>
          <c:order val="1"/>
          <c:tx>
            <c:strRef>
              <c:f>Subject!$B$3</c:f>
              <c:strCache>
                <c:ptCount val="1"/>
                <c:pt idx="0">
                  <c:v>Average of Computer Science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Subject!$B$4</c:f>
              <c:numCache>
                <c:formatCode>General</c:formatCode>
                <c:ptCount val="1"/>
                <c:pt idx="0">
                  <c:v>88.0377358490566</c:v>
                </c:pt>
              </c:numCache>
            </c:numRef>
          </c:val>
        </c:ser>
        <c:ser>
          <c:idx val="2"/>
          <c:order val="2"/>
          <c:tx>
            <c:strRef>
              <c:f>Subject!$C$3</c:f>
              <c:strCache>
                <c:ptCount val="1"/>
                <c:pt idx="0">
                  <c:v>Average of English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Subject!$C$4</c:f>
              <c:numCache>
                <c:formatCode>General</c:formatCode>
                <c:ptCount val="1"/>
                <c:pt idx="0">
                  <c:v>88.5660377358491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360943064"/>
        <c:axId val="788279907"/>
      </c:barChart>
      <c:catAx>
        <c:axId val="360943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8279907"/>
        <c:crosses val="autoZero"/>
        <c:auto val="1"/>
        <c:lblAlgn val="ctr"/>
        <c:lblOffset val="100"/>
        <c:noMultiLvlLbl val="0"/>
      </c:catAx>
      <c:valAx>
        <c:axId val="7882799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94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381578947368421"/>
          <c:y val="0.1125"/>
          <c:w val="0.906578947368421"/>
          <c:h val="0.20578703703703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d0fb0fd-cb5e-472b-b5af-e7436296f851}"/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[Student-database.xlasx.xlsx]marks above 90!PivotTable7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Marks : Above 90</a:t>
            </a:r>
          </a:p>
        </c:rich>
      </c:tx>
      <c:layout>
        <c:manualLayout>
          <c:xMode val="edge"/>
          <c:yMode val="edge"/>
          <c:x val="0.0670484827070571"/>
          <c:y val="0.07188423192823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368421052632"/>
          <c:y val="0.211805555555556"/>
          <c:w val="0.419078947368421"/>
          <c:h val="0.737268518518518"/>
        </c:manualLayout>
      </c:layout>
      <c:pieChart>
        <c:varyColors val="1"/>
        <c:ser>
          <c:idx val="0"/>
          <c:order val="0"/>
          <c:tx>
            <c:strRef>
              <c:f>'marks above 90'!$B$3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70603951863234"/>
                  <c:y val="-0.14745691364412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505572811986"/>
                      <c:h val="0.14541257934218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39576754696282"/>
                  <c:y val="0.090895559644536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14251781473"/>
                      <c:h val="0.17166762839007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'marks above 90'!$A$4:$A$6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'marks above 90'!$B$4:$B$6</c:f>
              <c:numCache>
                <c:formatCode>General</c:formatCode>
                <c:ptCount val="3"/>
                <c:pt idx="0">
                  <c:v>34</c:v>
                </c:pt>
                <c:pt idx="1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41117421740853"/>
          <c:y val="0.4254358974358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7492de-ccdf-449a-9338-c5af35ca4812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[Student-database.xlasx.xlsx]Top 5 Students!PivotTable2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Students</a:t>
            </a:r>
          </a:p>
        </c:rich>
      </c:tx>
      <c:layout>
        <c:manualLayout>
          <c:xMode val="edge"/>
          <c:yMode val="edge"/>
          <c:x val="0.0584868421052632"/>
          <c:y val="0.03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423482022507131"/>
          <c:y val="0.219112769485904"/>
          <c:w val="0.759210526315789"/>
          <c:h val="0.624166666666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5 Students'!$B$3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Students'!$A$4:$A$8</c:f>
              <c:strCache>
                <c:ptCount val="5"/>
                <c:pt idx="0">
                  <c:v>Abhishek Koli</c:v>
                </c:pt>
                <c:pt idx="1">
                  <c:v>Ajay Singh</c:v>
                </c:pt>
                <c:pt idx="2">
                  <c:v>Amit verma</c:v>
                </c:pt>
                <c:pt idx="3">
                  <c:v>Anjali Pawar</c:v>
                </c:pt>
                <c:pt idx="4">
                  <c:v>Tanvi Patil</c:v>
                </c:pt>
              </c:strCache>
            </c:strRef>
          </c:cat>
          <c:val>
            <c:numRef>
              <c:f>'Top 5 Students'!$B$4:$B$8</c:f>
              <c:numCache>
                <c:formatCode>General</c:formatCode>
                <c:ptCount val="5"/>
                <c:pt idx="0">
                  <c:v>290</c:v>
                </c:pt>
                <c:pt idx="1">
                  <c:v>287</c:v>
                </c:pt>
                <c:pt idx="2">
                  <c:v>289</c:v>
                </c:pt>
                <c:pt idx="3">
                  <c:v>287</c:v>
                </c:pt>
                <c:pt idx="4">
                  <c:v>286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5681006"/>
        <c:axId val="529200341"/>
      </c:barChart>
      <c:catAx>
        <c:axId val="156810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9200341"/>
        <c:crosses val="autoZero"/>
        <c:auto val="1"/>
        <c:lblAlgn val="ctr"/>
        <c:lblOffset val="100"/>
        <c:noMultiLvlLbl val="0"/>
      </c:catAx>
      <c:valAx>
        <c:axId val="52920034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81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7885646217987"/>
          <c:y val="0.0746268656716418"/>
          <c:w val="0.170394736842105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a474c2-82c8-4336-971a-1ebe3c8dac12}"/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[Student-database.xlasx.xlsx]Average students!PivotTable3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Average Students</a:t>
            </a:r>
          </a:p>
        </c:rich>
      </c:tx>
      <c:layout>
        <c:manualLayout>
          <c:xMode val="edge"/>
          <c:yMode val="edge"/>
          <c:x val="0.0372925786419627"/>
          <c:y val="0.008810572687224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6973684210526"/>
          <c:y val="0.22337962962963"/>
          <c:w val="0.287368421052632"/>
          <c:h val="0.505555555555556"/>
        </c:manualLayout>
      </c:layout>
      <c:pieChart>
        <c:varyColors val="1"/>
        <c:ser>
          <c:idx val="0"/>
          <c:order val="0"/>
          <c:tx>
            <c:strRef>
              <c:f>'Average students'!$B$3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-0.00290135396518375"/>
                  <c:y val="0.022026431718061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0174081237911025"/>
                  <c:y val="0.01492042440318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0"/>
                  <c:y val="0.026431718061674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'Average students'!$A$4:$A$13</c:f>
              <c:strCache>
                <c:ptCount val="10"/>
                <c:pt idx="0">
                  <c:v>A001</c:v>
                </c:pt>
                <c:pt idx="1">
                  <c:v>A002</c:v>
                </c:pt>
                <c:pt idx="2">
                  <c:v>A017</c:v>
                </c:pt>
                <c:pt idx="3">
                  <c:v>A020</c:v>
                </c:pt>
                <c:pt idx="4">
                  <c:v>A022</c:v>
                </c:pt>
                <c:pt idx="5">
                  <c:v>A026</c:v>
                </c:pt>
                <c:pt idx="6">
                  <c:v>A027</c:v>
                </c:pt>
                <c:pt idx="7">
                  <c:v>A035</c:v>
                </c:pt>
                <c:pt idx="8">
                  <c:v>A036</c:v>
                </c:pt>
                <c:pt idx="9">
                  <c:v>A048</c:v>
                </c:pt>
              </c:strCache>
            </c:strRef>
          </c:cat>
          <c:val>
            <c:numRef>
              <c:f>'Average students'!$B$4:$B$13</c:f>
              <c:numCache>
                <c:formatCode>General</c:formatCode>
                <c:ptCount val="10"/>
                <c:pt idx="0">
                  <c:v>96.6666666666667</c:v>
                </c:pt>
                <c:pt idx="1">
                  <c:v>95.3333333333333</c:v>
                </c:pt>
                <c:pt idx="2">
                  <c:v>93</c:v>
                </c:pt>
                <c:pt idx="3">
                  <c:v>94.6666666666667</c:v>
                </c:pt>
                <c:pt idx="4">
                  <c:v>93</c:v>
                </c:pt>
                <c:pt idx="5">
                  <c:v>93.3333333333333</c:v>
                </c:pt>
                <c:pt idx="6">
                  <c:v>95.6666666666667</c:v>
                </c:pt>
                <c:pt idx="7">
                  <c:v>96.3333333333333</c:v>
                </c:pt>
                <c:pt idx="8">
                  <c:v>93.3333333333333</c:v>
                </c:pt>
                <c:pt idx="9">
                  <c:v>95.6666666666667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d122e0a-a386-415f-97e5-7ea0f4724ebc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 highest performing state!PivotTable4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 : higest performing student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2281134401973"/>
          <c:y val="0.2375"/>
          <c:w val="0.772922318125771"/>
          <c:h val="0.72638888888888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 highest performing state'!$B$3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highest performing state'!$A$4:$A$17</c:f>
              <c:strCache>
                <c:ptCount val="14"/>
                <c:pt idx="0">
                  <c:v>arunachal Pradesh</c:v>
                </c:pt>
                <c:pt idx="1">
                  <c:v>Bihar</c:v>
                </c:pt>
                <c:pt idx="2">
                  <c:v>Goa</c:v>
                </c:pt>
                <c:pt idx="3">
                  <c:v>Gujrat</c:v>
                </c:pt>
                <c:pt idx="4">
                  <c:v>Karnataka</c:v>
                </c:pt>
                <c:pt idx="5">
                  <c:v>Kerla</c:v>
                </c:pt>
                <c:pt idx="6">
                  <c:v>Maharashtra</c:v>
                </c:pt>
                <c:pt idx="7">
                  <c:v>Manipur</c:v>
                </c:pt>
                <c:pt idx="8">
                  <c:v>Mizorom</c:v>
                </c:pt>
                <c:pt idx="9">
                  <c:v>Odisha</c:v>
                </c:pt>
                <c:pt idx="10">
                  <c:v>Punjab</c:v>
                </c:pt>
                <c:pt idx="11">
                  <c:v>Sikkim</c:v>
                </c:pt>
                <c:pt idx="12">
                  <c:v>Tamil Nadu</c:v>
                </c:pt>
                <c:pt idx="13">
                  <c:v>(blank)</c:v>
                </c:pt>
              </c:strCache>
            </c:strRef>
          </c:cat>
          <c:val>
            <c:numRef>
              <c:f>' highest performing state'!$B$4:$B$17</c:f>
              <c:numCache>
                <c:formatCode>General</c:formatCode>
                <c:ptCount val="14"/>
                <c:pt idx="0">
                  <c:v>270</c:v>
                </c:pt>
                <c:pt idx="1">
                  <c:v>2126</c:v>
                </c:pt>
                <c:pt idx="2">
                  <c:v>795</c:v>
                </c:pt>
                <c:pt idx="3">
                  <c:v>1365</c:v>
                </c:pt>
                <c:pt idx="4">
                  <c:v>2902</c:v>
                </c:pt>
                <c:pt idx="5">
                  <c:v>1093</c:v>
                </c:pt>
                <c:pt idx="6">
                  <c:v>2107</c:v>
                </c:pt>
                <c:pt idx="7">
                  <c:v>284</c:v>
                </c:pt>
                <c:pt idx="8">
                  <c:v>261</c:v>
                </c:pt>
                <c:pt idx="9">
                  <c:v>1338</c:v>
                </c:pt>
                <c:pt idx="10">
                  <c:v>227</c:v>
                </c:pt>
                <c:pt idx="11">
                  <c:v>280</c:v>
                </c:pt>
                <c:pt idx="12">
                  <c:v>1015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82350693"/>
        <c:axId val="585628386"/>
      </c:barChart>
      <c:catAx>
        <c:axId val="28235069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5628386"/>
        <c:crosses val="autoZero"/>
        <c:auto val="1"/>
        <c:lblAlgn val="ctr"/>
        <c:lblOffset val="100"/>
        <c:noMultiLvlLbl val="0"/>
      </c:catAx>
      <c:valAx>
        <c:axId val="5856283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35069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070dc0-8c48-4762-9d49-5de2d087db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[Student-database.xlasx.xlsx]State student coming from!PivotTable5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1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 i="1"/>
              <a:t>State : Student coming from</a:t>
            </a:r>
            <a:endParaRPr b="1" i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5137548074443"/>
          <c:y val="0.196319018404908"/>
          <c:w val="0.676668827368296"/>
          <c:h val="0.430953708867819"/>
        </c:manualLayout>
      </c:layout>
      <c:lineChart>
        <c:grouping val="standard"/>
        <c:varyColors val="0"/>
        <c:ser>
          <c:idx val="0"/>
          <c:order val="0"/>
          <c:tx>
            <c:strRef>
              <c:f>'State student coming from'!$B$3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'State student coming from'!$A$4:$A$17</c:f>
              <c:strCache>
                <c:ptCount val="14"/>
                <c:pt idx="0">
                  <c:v>arunachal Pradesh</c:v>
                </c:pt>
                <c:pt idx="1">
                  <c:v>Bihar</c:v>
                </c:pt>
                <c:pt idx="2">
                  <c:v>Goa</c:v>
                </c:pt>
                <c:pt idx="3">
                  <c:v>Gujrat</c:v>
                </c:pt>
                <c:pt idx="4">
                  <c:v>Karnataka</c:v>
                </c:pt>
                <c:pt idx="5">
                  <c:v>Kerla</c:v>
                </c:pt>
                <c:pt idx="6">
                  <c:v>Maharashtra</c:v>
                </c:pt>
                <c:pt idx="7">
                  <c:v>Manipur</c:v>
                </c:pt>
                <c:pt idx="8">
                  <c:v>Mizorom</c:v>
                </c:pt>
                <c:pt idx="9">
                  <c:v>Odisha</c:v>
                </c:pt>
                <c:pt idx="10">
                  <c:v>Punjab</c:v>
                </c:pt>
                <c:pt idx="11">
                  <c:v>Sikkim</c:v>
                </c:pt>
                <c:pt idx="12">
                  <c:v>Tamil Nadu</c:v>
                </c:pt>
                <c:pt idx="13">
                  <c:v>(blank)</c:v>
                </c:pt>
              </c:strCache>
            </c:strRef>
          </c:cat>
          <c:val>
            <c:numRef>
              <c:f>'State student coming from'!$B$4:$B$17</c:f>
              <c:numCache>
                <c:formatCode>General</c:formatCode>
                <c:ptCount val="14"/>
                <c:pt idx="0">
                  <c:v>1</c:v>
                </c:pt>
                <c:pt idx="1">
                  <c:v>8</c:v>
                </c:pt>
                <c:pt idx="2">
                  <c:v>3</c:v>
                </c:pt>
                <c:pt idx="3">
                  <c:v>5</c:v>
                </c:pt>
                <c:pt idx="4">
                  <c:v>11</c:v>
                </c:pt>
                <c:pt idx="5">
                  <c:v>4</c:v>
                </c:pt>
                <c:pt idx="6">
                  <c:v>8</c:v>
                </c:pt>
                <c:pt idx="7">
                  <c:v>1</c:v>
                </c:pt>
                <c:pt idx="8">
                  <c:v>1</c:v>
                </c:pt>
                <c:pt idx="9">
                  <c:v>5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230087"/>
        <c:axId val="17646799"/>
      </c:lineChart>
      <c:catAx>
        <c:axId val="970230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46799"/>
        <c:crosses val="autoZero"/>
        <c:auto val="1"/>
        <c:lblAlgn val="ctr"/>
        <c:lblOffset val="100"/>
        <c:noMultiLvlLbl val="0"/>
      </c:catAx>
      <c:valAx>
        <c:axId val="176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230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d6e237-a026-4b35-98d2-a7333ba7a6fa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 i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[Student-database.xlasx.xlsx]Subject!PivotTable6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Subject : highest average score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89473684210526"/>
          <c:y val="0.371527777777778"/>
          <c:w val="0.794736842105263"/>
          <c:h val="0.516527777777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Subject!$A$3</c:f>
              <c:strCache>
                <c:ptCount val="1"/>
                <c:pt idx="0">
                  <c:v>Average of Math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Subject!$A$4</c:f>
              <c:numCache>
                <c:formatCode>General</c:formatCode>
                <c:ptCount val="1"/>
                <c:pt idx="0">
                  <c:v>88.7358490566038</c:v>
                </c:pt>
              </c:numCache>
            </c:numRef>
          </c:val>
        </c:ser>
        <c:ser>
          <c:idx val="1"/>
          <c:order val="1"/>
          <c:tx>
            <c:strRef>
              <c:f>Subject!$B$3</c:f>
              <c:strCache>
                <c:ptCount val="1"/>
                <c:pt idx="0">
                  <c:v>Average of Computer Science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Subject!$B$4</c:f>
              <c:numCache>
                <c:formatCode>General</c:formatCode>
                <c:ptCount val="1"/>
                <c:pt idx="0">
                  <c:v>88.0377358490566</c:v>
                </c:pt>
              </c:numCache>
            </c:numRef>
          </c:val>
        </c:ser>
        <c:ser>
          <c:idx val="2"/>
          <c:order val="2"/>
          <c:tx>
            <c:strRef>
              <c:f>Subject!$C$3</c:f>
              <c:strCache>
                <c:ptCount val="1"/>
                <c:pt idx="0">
                  <c:v>Average of English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3">
                      <a:lumMod val="75000"/>
                    </a:schemeClr>
                  </a:gs>
                  <a:gs pos="0">
                    <a:schemeClr val="accent3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Subject!$A$4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Subject!$C$4</c:f>
              <c:numCache>
                <c:formatCode>General</c:formatCode>
                <c:ptCount val="1"/>
                <c:pt idx="0">
                  <c:v>88.5660377358491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360943064"/>
        <c:axId val="788279907"/>
      </c:barChart>
      <c:catAx>
        <c:axId val="360943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8279907"/>
        <c:crosses val="autoZero"/>
        <c:auto val="1"/>
        <c:lblAlgn val="ctr"/>
        <c:lblOffset val="100"/>
        <c:noMultiLvlLbl val="0"/>
      </c:catAx>
      <c:valAx>
        <c:axId val="7882799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094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0361842105263158"/>
          <c:y val="0.115972222222222"/>
          <c:w val="0.906578947368421"/>
          <c:h val="0.20578703703703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fe6c9e1-5e1b-466b-a6b9-52dccbb8a5df}"/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[Student-database.xlasx.xlsx]marks above 90!PivotTable7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Marks : Above 90</a:t>
            </a:r>
          </a:p>
        </c:rich>
      </c:tx>
      <c:layout>
        <c:manualLayout>
          <c:xMode val="edge"/>
          <c:yMode val="edge"/>
          <c:x val="0.0670484827070571"/>
          <c:y val="0.071884231928230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7368421052632"/>
          <c:y val="0.211805555555556"/>
          <c:w val="0.419078947368421"/>
          <c:h val="0.737268518518518"/>
        </c:manualLayout>
      </c:layout>
      <c:pieChart>
        <c:varyColors val="1"/>
        <c:ser>
          <c:idx val="0"/>
          <c:order val="0"/>
          <c:tx>
            <c:strRef>
              <c:f>'marks above 90'!$B$3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23825648259302"/>
                  <c:y val="-0.15883902746526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5700764470331"/>
                      <c:h val="0.16802168021680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39576754696282"/>
                  <c:y val="0.090895559644536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14251781473"/>
                      <c:h val="0.171667628390075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'marks above 90'!$A$4:$A$6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(blank)</c:v>
                </c:pt>
              </c:strCache>
            </c:strRef>
          </c:cat>
          <c:val>
            <c:numRef>
              <c:f>'marks above 90'!$B$4:$B$6</c:f>
              <c:numCache>
                <c:formatCode>General</c:formatCode>
                <c:ptCount val="3"/>
                <c:pt idx="0">
                  <c:v>34</c:v>
                </c:pt>
                <c:pt idx="1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41117421740853"/>
          <c:y val="0.4254358974358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d46edb-3165-47a2-8167-575ccd726a8a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387350</xdr:colOff>
      <xdr:row>4</xdr:row>
      <xdr:rowOff>76200</xdr:rowOff>
    </xdr:from>
    <xdr:to>
      <xdr:col>10</xdr:col>
      <xdr:colOff>252095</xdr:colOff>
      <xdr:row>16</xdr:row>
      <xdr:rowOff>151765</xdr:rowOff>
    </xdr:to>
    <xdr:graphicFrame>
      <xdr:nvGraphicFramePr>
        <xdr:cNvPr id="2" name="Chart 1"/>
        <xdr:cNvGraphicFramePr/>
      </xdr:nvGraphicFramePr>
      <xdr:xfrm>
        <a:off x="2625725" y="838200"/>
        <a:ext cx="4741545" cy="2361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149225</xdr:colOff>
      <xdr:row>1</xdr:row>
      <xdr:rowOff>19050</xdr:rowOff>
    </xdr:from>
    <xdr:to>
      <xdr:col>8</xdr:col>
      <xdr:colOff>384175</xdr:colOff>
      <xdr:row>12</xdr:row>
      <xdr:rowOff>85725</xdr:rowOff>
    </xdr:to>
    <xdr:graphicFrame>
      <xdr:nvGraphicFramePr>
        <xdr:cNvPr id="2" name="Chart 1"/>
        <xdr:cNvGraphicFramePr/>
      </xdr:nvGraphicFramePr>
      <xdr:xfrm>
        <a:off x="3130550" y="209550"/>
        <a:ext cx="3282950" cy="2162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463550</xdr:colOff>
      <xdr:row>4</xdr:row>
      <xdr:rowOff>113665</xdr:rowOff>
    </xdr:from>
    <xdr:to>
      <xdr:col>11</xdr:col>
      <xdr:colOff>127000</xdr:colOff>
      <xdr:row>16</xdr:row>
      <xdr:rowOff>114300</xdr:rowOff>
    </xdr:to>
    <xdr:graphicFrame>
      <xdr:nvGraphicFramePr>
        <xdr:cNvPr id="3" name="Chart 2"/>
        <xdr:cNvGraphicFramePr/>
      </xdr:nvGraphicFramePr>
      <xdr:xfrm>
        <a:off x="3006725" y="875665"/>
        <a:ext cx="5149850" cy="2286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130175</xdr:colOff>
      <xdr:row>5</xdr:row>
      <xdr:rowOff>191135</xdr:rowOff>
    </xdr:from>
    <xdr:to>
      <xdr:col>13</xdr:col>
      <xdr:colOff>22225</xdr:colOff>
      <xdr:row>17</xdr:row>
      <xdr:rowOff>182245</xdr:rowOff>
    </xdr:to>
    <xdr:graphicFrame>
      <xdr:nvGraphicFramePr>
        <xdr:cNvPr id="2" name="Chart 1"/>
        <xdr:cNvGraphicFramePr/>
      </xdr:nvGraphicFramePr>
      <xdr:xfrm>
        <a:off x="3921125" y="1143000"/>
        <a:ext cx="5378450" cy="227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25400</xdr:colOff>
      <xdr:row>6</xdr:row>
      <xdr:rowOff>0</xdr:rowOff>
    </xdr:from>
    <xdr:to>
      <xdr:col>4</xdr:col>
      <xdr:colOff>279400</xdr:colOff>
      <xdr:row>20</xdr:row>
      <xdr:rowOff>76200</xdr:rowOff>
    </xdr:to>
    <xdr:graphicFrame>
      <xdr:nvGraphicFramePr>
        <xdr:cNvPr id="2" name="Chart 1"/>
        <xdr:cNvGraphicFramePr/>
      </xdr:nvGraphicFramePr>
      <xdr:xfrm>
        <a:off x="2006600" y="1143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301625</xdr:colOff>
      <xdr:row>5</xdr:row>
      <xdr:rowOff>85090</xdr:rowOff>
    </xdr:from>
    <xdr:to>
      <xdr:col>8</xdr:col>
      <xdr:colOff>119380</xdr:colOff>
      <xdr:row>17</xdr:row>
      <xdr:rowOff>0</xdr:rowOff>
    </xdr:to>
    <xdr:graphicFrame>
      <xdr:nvGraphicFramePr>
        <xdr:cNvPr id="2" name="Chart 1"/>
        <xdr:cNvGraphicFramePr/>
      </xdr:nvGraphicFramePr>
      <xdr:xfrm>
        <a:off x="3130550" y="1037590"/>
        <a:ext cx="3475355" cy="2200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95250</xdr:colOff>
      <xdr:row>2</xdr:row>
      <xdr:rowOff>29845</xdr:rowOff>
    </xdr:from>
    <xdr:to>
      <xdr:col>10</xdr:col>
      <xdr:colOff>102870</xdr:colOff>
      <xdr:row>14</xdr:row>
      <xdr:rowOff>113665</xdr:rowOff>
    </xdr:to>
    <xdr:graphicFrame>
      <xdr:nvGraphicFramePr>
        <xdr:cNvPr id="2" name="Chart 1"/>
        <xdr:cNvGraphicFramePr/>
      </xdr:nvGraphicFramePr>
      <xdr:xfrm>
        <a:off x="1924050" y="817245"/>
        <a:ext cx="4274820" cy="2369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533400</xdr:colOff>
      <xdr:row>2</xdr:row>
      <xdr:rowOff>0</xdr:rowOff>
    </xdr:from>
    <xdr:to>
      <xdr:col>21</xdr:col>
      <xdr:colOff>158750</xdr:colOff>
      <xdr:row>14</xdr:row>
      <xdr:rowOff>57150</xdr:rowOff>
    </xdr:to>
    <xdr:graphicFrame>
      <xdr:nvGraphicFramePr>
        <xdr:cNvPr id="3" name="Chart 2"/>
        <xdr:cNvGraphicFramePr/>
      </xdr:nvGraphicFramePr>
      <xdr:xfrm>
        <a:off x="9677400" y="787400"/>
        <a:ext cx="3282950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156210</xdr:colOff>
      <xdr:row>2</xdr:row>
      <xdr:rowOff>26035</xdr:rowOff>
    </xdr:from>
    <xdr:to>
      <xdr:col>29</xdr:col>
      <xdr:colOff>429260</xdr:colOff>
      <xdr:row>14</xdr:row>
      <xdr:rowOff>26035</xdr:rowOff>
    </xdr:to>
    <xdr:graphicFrame>
      <xdr:nvGraphicFramePr>
        <xdr:cNvPr id="4" name="Chart 3"/>
        <xdr:cNvGraphicFramePr/>
      </xdr:nvGraphicFramePr>
      <xdr:xfrm>
        <a:off x="12957810" y="813435"/>
        <a:ext cx="514985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314325</xdr:colOff>
      <xdr:row>14</xdr:row>
      <xdr:rowOff>47625</xdr:rowOff>
    </xdr:from>
    <xdr:to>
      <xdr:col>22</xdr:col>
      <xdr:colOff>206375</xdr:colOff>
      <xdr:row>26</xdr:row>
      <xdr:rowOff>39370</xdr:rowOff>
    </xdr:to>
    <xdr:graphicFrame>
      <xdr:nvGraphicFramePr>
        <xdr:cNvPr id="5" name="Chart 4"/>
        <xdr:cNvGraphicFramePr/>
      </xdr:nvGraphicFramePr>
      <xdr:xfrm>
        <a:off x="8239125" y="3121025"/>
        <a:ext cx="5378450" cy="22777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361950</xdr:colOff>
      <xdr:row>14</xdr:row>
      <xdr:rowOff>76200</xdr:rowOff>
    </xdr:from>
    <xdr:to>
      <xdr:col>13</xdr:col>
      <xdr:colOff>311150</xdr:colOff>
      <xdr:row>28</xdr:row>
      <xdr:rowOff>152400</xdr:rowOff>
    </xdr:to>
    <xdr:graphicFrame>
      <xdr:nvGraphicFramePr>
        <xdr:cNvPr id="6" name="Chart 5"/>
        <xdr:cNvGraphicFramePr/>
      </xdr:nvGraphicFramePr>
      <xdr:xfrm>
        <a:off x="3409950" y="3149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95250</xdr:colOff>
      <xdr:row>2</xdr:row>
      <xdr:rowOff>19050</xdr:rowOff>
    </xdr:from>
    <xdr:to>
      <xdr:col>15</xdr:col>
      <xdr:colOff>522605</xdr:colOff>
      <xdr:row>14</xdr:row>
      <xdr:rowOff>76200</xdr:rowOff>
    </xdr:to>
    <xdr:graphicFrame>
      <xdr:nvGraphicFramePr>
        <xdr:cNvPr id="7" name="Chart 6"/>
        <xdr:cNvGraphicFramePr/>
      </xdr:nvGraphicFramePr>
      <xdr:xfrm>
        <a:off x="6191250" y="806450"/>
        <a:ext cx="3475355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48260</xdr:colOff>
      <xdr:row>1</xdr:row>
      <xdr:rowOff>126365</xdr:rowOff>
    </xdr:from>
    <xdr:to>
      <xdr:col>2</xdr:col>
      <xdr:colOff>513080</xdr:colOff>
      <xdr:row>47</xdr:row>
      <xdr:rowOff>40640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Rank Student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nk Student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60" y="723265"/>
              <a:ext cx="1684020" cy="8677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9.1031712963" refreshedBy="LENOVO" recordCount="54">
  <cacheSource type="worksheet">
    <worksheetSource ref="B3:K57" sheet="Student Database"/>
  </cacheSource>
  <cacheFields count="10">
    <cacheField name="Student Id" numFmtId="0">
      <sharedItems containsBlank="1" count="54">
        <m/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  <s v="A021"/>
        <s v="A022"/>
        <s v="A023"/>
        <s v="A024"/>
        <s v="A025"/>
        <s v="A026"/>
        <s v="A027"/>
        <s v="A028"/>
        <s v="A029"/>
        <s v="A030"/>
        <s v="A031"/>
        <s v="A032"/>
        <s v="A033"/>
        <s v="A034"/>
        <s v="A035"/>
        <s v="A036"/>
        <s v="A037"/>
        <s v="A038"/>
        <s v="A039"/>
        <s v="A040"/>
        <s v="A041"/>
        <s v="A042"/>
        <s v="A043"/>
        <s v="A044"/>
        <s v="A045"/>
        <s v="A046"/>
        <s v="A047"/>
        <s v="A048"/>
        <s v="A049"/>
        <s v="A050"/>
        <s v="A051"/>
        <s v="A052"/>
        <s v="A053"/>
      </sharedItems>
    </cacheField>
    <cacheField name="Name" numFmtId="0">
      <sharedItems containsBlank="1" count="54">
        <m/>
        <s v="Abhishek Koli"/>
        <s v="Tanvi Patil"/>
        <s v="Pooja Kumbar"/>
        <s v="Aishwarya Singh"/>
        <s v="Pawan Singh"/>
        <s v="Deepak Sutar"/>
        <s v="Nia Jain"/>
        <s v="Sofia Nadaf"/>
        <s v="Virat Kumar"/>
        <s v="Jeevika Raina"/>
        <s v="Jay Basu"/>
        <s v="Diya Kapoor"/>
        <s v="Simaran Khan"/>
        <s v="Sahil Roy"/>
        <s v="Deepti sutar"/>
        <s v="Dinesh Bagwaan"/>
        <s v="Abishek Mehra"/>
        <s v="Lakshy Sighaniyan"/>
        <s v="akshra Maheshwari"/>
        <s v="Keerti Goenka"/>
        <s v="Purvi Arora"/>
        <s v="Divyanka Tripati"/>
        <s v="Aditya Basu"/>
        <s v="Rahul Khanna"/>
        <s v="Rohit Kapoor"/>
        <s v="Akshay Kumar"/>
        <s v="Ajay Singh"/>
        <s v="Jyooti Sinaha"/>
        <s v="Jeeva sehgal"/>
        <s v="Mohammed Patel"/>
        <s v="Priya Sharma"/>
        <s v="Deepak Reddy"/>
        <s v="Jeevan Verma"/>
        <s v="Anjali Rao"/>
        <s v="Amit verma"/>
        <s v="Neha Sharma"/>
        <s v="Anushka Pandey"/>
        <s v="Zoya Siddiqui"/>
        <s v="Armaan Malik"/>
        <s v="Vijay Verma"/>
        <s v="Anuj Singh"/>
        <s v="Shraddha Kapoor"/>
        <s v="Sidharth Malhotra"/>
        <s v="Shilpa Shetty"/>
        <s v="Roshan Bedi"/>
        <s v="Salman Ali"/>
        <s v="Reena Nair"/>
        <s v="Anjali Pawar"/>
        <s v="Jeet Patel"/>
        <s v="Rahul Desai"/>
        <s v="Kiran Mehta"/>
        <s v="Siddu Gowda"/>
        <s v="Amit Shah"/>
      </sharedItems>
    </cacheField>
    <cacheField name="States" numFmtId="0">
      <sharedItems containsBlank="1" count="36">
        <m/>
        <s v="Bihar"/>
        <s v="Karnataka"/>
        <s v="Maharashtra"/>
        <s v="Gujrat"/>
        <s v="Goa"/>
        <s v="Kerla"/>
        <s v="arunachal Pradesh"/>
        <s v="Manipur"/>
        <s v="Mizorom"/>
        <s v="Sikkim"/>
        <s v="Tamil Nadu"/>
        <s v="Odisha"/>
        <s v="Punjab"/>
        <s v="Assam" u="1"/>
        <s v="Delhi" u="1"/>
        <s v="Jharkhand" u="1"/>
        <s v="Haryana" u="1"/>
        <s v="Meghalay" u="1"/>
        <s v="Himachal Pradesh" u="1"/>
        <s v="Chhattisgarh" u="1"/>
        <s v="Andra Pradesh" u="1"/>
        <s v="Nagaland" u="1"/>
        <s v="Rajasthan" u="1"/>
        <s v="Tripur" u="1"/>
        <s v="Telangana" u="1"/>
        <s v="Uttar Pradesh" u="1"/>
        <s v="Uttarakhand" u="1"/>
        <s v="West Bengal" u="1"/>
        <s v="Andaman &amp; Nicobar" u="1"/>
        <s v="Chandigarh" u="1"/>
        <s v="Dadra &amp; Nagar Haveli" u="1"/>
        <s v="Daman &amp; Diu" u="1"/>
        <s v="Jammu &amp; kashmir" u="1"/>
        <s v="Lakshdweep" u="1"/>
        <s v="Puducherry" u="1"/>
      </sharedItems>
    </cacheField>
    <cacheField name="Math" numFmtId="0">
      <sharedItems containsString="0" containsBlank="1" containsNumber="1" containsInteger="1" minValue="0" maxValue="99" count="23">
        <m/>
        <n v="97"/>
        <n v="94"/>
        <n v="91"/>
        <n v="92"/>
        <n v="82"/>
        <n v="88"/>
        <n v="89"/>
        <n v="87"/>
        <n v="90"/>
        <n v="79"/>
        <n v="99"/>
        <n v="85"/>
        <n v="95"/>
        <n v="93"/>
        <n v="86"/>
        <n v="83"/>
        <n v="80"/>
        <n v="78"/>
        <n v="98"/>
        <n v="81"/>
        <n v="74"/>
        <n v="77"/>
      </sharedItems>
    </cacheField>
    <cacheField name="Computer Science" numFmtId="0">
      <sharedItems containsString="0" containsBlank="1" containsNumber="1" containsInteger="1" minValue="0" maxValue="99" count="21">
        <m/>
        <n v="98"/>
        <n v="93"/>
        <n v="92"/>
        <n v="91"/>
        <n v="99"/>
        <n v="90"/>
        <n v="89"/>
        <n v="88"/>
        <n v="77"/>
        <n v="87"/>
        <n v="80"/>
        <n v="94"/>
        <n v="95"/>
        <n v="68"/>
        <n v="86"/>
        <n v="74"/>
        <n v="73"/>
        <n v="83"/>
        <n v="69"/>
        <n v="78"/>
      </sharedItems>
    </cacheField>
    <cacheField name="English" numFmtId="0">
      <sharedItems containsString="0" containsBlank="1" containsNumber="1" containsInteger="1" minValue="0" maxValue="99" count="22">
        <m/>
        <n v="95"/>
        <n v="99"/>
        <n v="89"/>
        <n v="88"/>
        <n v="90"/>
        <n v="91"/>
        <n v="97"/>
        <n v="92"/>
        <n v="83"/>
        <n v="80"/>
        <n v="81"/>
        <n v="87"/>
        <n v="96"/>
        <n v="84"/>
        <n v="77"/>
        <n v="98"/>
        <n v="68"/>
        <n v="78"/>
        <n v="70"/>
        <n v="79"/>
        <n v="75"/>
      </sharedItems>
    </cacheField>
    <cacheField name="Total Marks" numFmtId="0">
      <sharedItems containsString="0" containsBlank="1" containsNumber="1" containsInteger="1" minValue="0" maxValue="290" count="34">
        <m/>
        <n v="290"/>
        <n v="286"/>
        <n v="272"/>
        <n v="273"/>
        <n v="263"/>
        <n v="278"/>
        <n v="276"/>
        <n v="269"/>
        <n v="258"/>
        <n v="268"/>
        <n v="266"/>
        <n v="259"/>
        <n v="279"/>
        <n v="270"/>
        <n v="284"/>
        <n v="261"/>
        <n v="243"/>
        <n v="280"/>
        <n v="287"/>
        <n v="238"/>
        <n v="248"/>
        <n v="262"/>
        <n v="229"/>
        <n v="247"/>
        <n v="256"/>
        <n v="289"/>
        <n v="255"/>
        <n v="235"/>
        <n v="265"/>
        <n v="264"/>
        <n v="227"/>
        <n v="267"/>
        <n v="260"/>
      </sharedItems>
    </cacheField>
    <cacheField name="Average Marks" numFmtId="0">
      <sharedItems containsString="0" containsBlank="1" containsNumber="1" minValue="0" maxValue="96.6666666666667" count="34">
        <m/>
        <n v="96.6666666666667"/>
        <n v="95.3333333333333"/>
        <n v="90.6666666666667"/>
        <n v="91"/>
        <n v="87.6666666666667"/>
        <n v="92.6666666666667"/>
        <n v="92"/>
        <n v="89.6666666666667"/>
        <n v="86"/>
        <n v="89.3333333333333"/>
        <n v="88.6666666666667"/>
        <n v="86.3333333333333"/>
        <n v="93"/>
        <n v="90"/>
        <n v="94.6666666666667"/>
        <n v="87"/>
        <n v="81"/>
        <n v="93.3333333333333"/>
        <n v="95.6666666666667"/>
        <n v="79.3333333333333"/>
        <n v="82.6666666666667"/>
        <n v="87.3333333333333"/>
        <n v="76.3333333333333"/>
        <n v="82.3333333333333"/>
        <n v="85.3333333333333"/>
        <n v="96.3333333333333"/>
        <n v="85"/>
        <n v="78.3333333333333"/>
        <n v="88.3333333333333"/>
        <n v="88"/>
        <n v="75.6666666666667"/>
        <n v="89"/>
        <n v="86.6666666666667"/>
      </sharedItems>
    </cacheField>
    <cacheField name="Above 90% students" numFmtId="0">
      <sharedItems containsString="0" containsBlank="1" containsNumber="1" containsInteger="1" minValue="0" maxValue="1" count="3">
        <m/>
        <n v="1"/>
        <n v="0"/>
      </sharedItems>
    </cacheField>
    <cacheField name="Rank Students" numFmtId="0">
      <sharedItems containsString="0" containsBlank="1" containsNumber="1" containsInteger="1" minValue="0" maxValue="54" count="34">
        <m/>
        <n v="2"/>
        <n v="6"/>
        <n v="19"/>
        <n v="16"/>
        <n v="36"/>
        <n v="12"/>
        <n v="15"/>
        <n v="21"/>
        <n v="42"/>
        <n v="24"/>
        <n v="28"/>
        <n v="41"/>
        <n v="10"/>
        <n v="20"/>
        <n v="7"/>
        <n v="38"/>
        <n v="50"/>
        <n v="8"/>
        <n v="4"/>
        <n v="51"/>
        <n v="46"/>
        <n v="37"/>
        <n v="53"/>
        <n v="47"/>
        <n v="44"/>
        <n v="3"/>
        <n v="45"/>
        <n v="52"/>
        <n v="30"/>
        <n v="33"/>
        <n v="54"/>
        <n v="27"/>
        <n v="4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1"/>
    <x v="2"/>
  </r>
  <r>
    <x v="3"/>
    <x v="3"/>
    <x v="3"/>
    <x v="3"/>
    <x v="3"/>
    <x v="3"/>
    <x v="3"/>
    <x v="3"/>
    <x v="1"/>
    <x v="3"/>
  </r>
  <r>
    <x v="4"/>
    <x v="4"/>
    <x v="4"/>
    <x v="4"/>
    <x v="2"/>
    <x v="4"/>
    <x v="4"/>
    <x v="4"/>
    <x v="1"/>
    <x v="4"/>
  </r>
  <r>
    <x v="5"/>
    <x v="5"/>
    <x v="1"/>
    <x v="5"/>
    <x v="4"/>
    <x v="5"/>
    <x v="5"/>
    <x v="5"/>
    <x v="2"/>
    <x v="5"/>
  </r>
  <r>
    <x v="6"/>
    <x v="6"/>
    <x v="4"/>
    <x v="6"/>
    <x v="5"/>
    <x v="6"/>
    <x v="6"/>
    <x v="6"/>
    <x v="1"/>
    <x v="6"/>
  </r>
  <r>
    <x v="7"/>
    <x v="7"/>
    <x v="4"/>
    <x v="7"/>
    <x v="6"/>
    <x v="7"/>
    <x v="7"/>
    <x v="7"/>
    <x v="1"/>
    <x v="7"/>
  </r>
  <r>
    <x v="8"/>
    <x v="8"/>
    <x v="5"/>
    <x v="6"/>
    <x v="7"/>
    <x v="8"/>
    <x v="8"/>
    <x v="8"/>
    <x v="2"/>
    <x v="8"/>
  </r>
  <r>
    <x v="9"/>
    <x v="9"/>
    <x v="5"/>
    <x v="8"/>
    <x v="8"/>
    <x v="9"/>
    <x v="9"/>
    <x v="9"/>
    <x v="2"/>
    <x v="9"/>
  </r>
  <r>
    <x v="10"/>
    <x v="10"/>
    <x v="5"/>
    <x v="9"/>
    <x v="1"/>
    <x v="10"/>
    <x v="10"/>
    <x v="10"/>
    <x v="2"/>
    <x v="10"/>
  </r>
  <r>
    <x v="11"/>
    <x v="11"/>
    <x v="6"/>
    <x v="10"/>
    <x v="6"/>
    <x v="2"/>
    <x v="10"/>
    <x v="10"/>
    <x v="2"/>
    <x v="10"/>
  </r>
  <r>
    <x v="12"/>
    <x v="12"/>
    <x v="1"/>
    <x v="11"/>
    <x v="9"/>
    <x v="5"/>
    <x v="11"/>
    <x v="11"/>
    <x v="2"/>
    <x v="11"/>
  </r>
  <r>
    <x v="13"/>
    <x v="13"/>
    <x v="4"/>
    <x v="3"/>
    <x v="10"/>
    <x v="11"/>
    <x v="12"/>
    <x v="12"/>
    <x v="2"/>
    <x v="12"/>
  </r>
  <r>
    <x v="14"/>
    <x v="14"/>
    <x v="1"/>
    <x v="6"/>
    <x v="11"/>
    <x v="5"/>
    <x v="9"/>
    <x v="9"/>
    <x v="2"/>
    <x v="9"/>
  </r>
  <r>
    <x v="15"/>
    <x v="15"/>
    <x v="1"/>
    <x v="12"/>
    <x v="7"/>
    <x v="1"/>
    <x v="8"/>
    <x v="8"/>
    <x v="2"/>
    <x v="8"/>
  </r>
  <r>
    <x v="16"/>
    <x v="16"/>
    <x v="1"/>
    <x v="8"/>
    <x v="5"/>
    <x v="12"/>
    <x v="4"/>
    <x v="4"/>
    <x v="1"/>
    <x v="4"/>
  </r>
  <r>
    <x v="17"/>
    <x v="17"/>
    <x v="4"/>
    <x v="7"/>
    <x v="12"/>
    <x v="13"/>
    <x v="13"/>
    <x v="13"/>
    <x v="1"/>
    <x v="13"/>
  </r>
  <r>
    <x v="18"/>
    <x v="18"/>
    <x v="2"/>
    <x v="13"/>
    <x v="13"/>
    <x v="4"/>
    <x v="6"/>
    <x v="6"/>
    <x v="1"/>
    <x v="6"/>
  </r>
  <r>
    <x v="19"/>
    <x v="19"/>
    <x v="7"/>
    <x v="14"/>
    <x v="2"/>
    <x v="14"/>
    <x v="14"/>
    <x v="14"/>
    <x v="1"/>
    <x v="14"/>
  </r>
  <r>
    <x v="20"/>
    <x v="20"/>
    <x v="8"/>
    <x v="11"/>
    <x v="13"/>
    <x v="5"/>
    <x v="15"/>
    <x v="15"/>
    <x v="1"/>
    <x v="15"/>
  </r>
  <r>
    <x v="21"/>
    <x v="21"/>
    <x v="9"/>
    <x v="13"/>
    <x v="7"/>
    <x v="15"/>
    <x v="16"/>
    <x v="16"/>
    <x v="2"/>
    <x v="16"/>
  </r>
  <r>
    <x v="22"/>
    <x v="22"/>
    <x v="2"/>
    <x v="12"/>
    <x v="5"/>
    <x v="1"/>
    <x v="13"/>
    <x v="13"/>
    <x v="1"/>
    <x v="13"/>
  </r>
  <r>
    <x v="23"/>
    <x v="23"/>
    <x v="1"/>
    <x v="6"/>
    <x v="14"/>
    <x v="12"/>
    <x v="17"/>
    <x v="17"/>
    <x v="2"/>
    <x v="17"/>
  </r>
  <r>
    <x v="24"/>
    <x v="24"/>
    <x v="2"/>
    <x v="15"/>
    <x v="6"/>
    <x v="5"/>
    <x v="11"/>
    <x v="11"/>
    <x v="2"/>
    <x v="11"/>
  </r>
  <r>
    <x v="25"/>
    <x v="25"/>
    <x v="2"/>
    <x v="16"/>
    <x v="1"/>
    <x v="4"/>
    <x v="8"/>
    <x v="8"/>
    <x v="2"/>
    <x v="8"/>
  </r>
  <r>
    <x v="26"/>
    <x v="26"/>
    <x v="10"/>
    <x v="13"/>
    <x v="10"/>
    <x v="16"/>
    <x v="18"/>
    <x v="18"/>
    <x v="1"/>
    <x v="18"/>
  </r>
  <r>
    <x v="27"/>
    <x v="27"/>
    <x v="11"/>
    <x v="9"/>
    <x v="1"/>
    <x v="2"/>
    <x v="19"/>
    <x v="19"/>
    <x v="1"/>
    <x v="19"/>
  </r>
  <r>
    <x v="28"/>
    <x v="28"/>
    <x v="11"/>
    <x v="17"/>
    <x v="7"/>
    <x v="8"/>
    <x v="16"/>
    <x v="16"/>
    <x v="2"/>
    <x v="16"/>
  </r>
  <r>
    <x v="29"/>
    <x v="29"/>
    <x v="11"/>
    <x v="8"/>
    <x v="14"/>
    <x v="9"/>
    <x v="20"/>
    <x v="20"/>
    <x v="2"/>
    <x v="20"/>
  </r>
  <r>
    <x v="30"/>
    <x v="30"/>
    <x v="2"/>
    <x v="18"/>
    <x v="15"/>
    <x v="14"/>
    <x v="21"/>
    <x v="21"/>
    <x v="2"/>
    <x v="21"/>
  </r>
  <r>
    <x v="31"/>
    <x v="31"/>
    <x v="2"/>
    <x v="9"/>
    <x v="9"/>
    <x v="1"/>
    <x v="22"/>
    <x v="22"/>
    <x v="2"/>
    <x v="22"/>
  </r>
  <r>
    <x v="32"/>
    <x v="32"/>
    <x v="11"/>
    <x v="8"/>
    <x v="16"/>
    <x v="17"/>
    <x v="23"/>
    <x v="23"/>
    <x v="2"/>
    <x v="23"/>
  </r>
  <r>
    <x v="33"/>
    <x v="33"/>
    <x v="2"/>
    <x v="15"/>
    <x v="17"/>
    <x v="4"/>
    <x v="24"/>
    <x v="24"/>
    <x v="2"/>
    <x v="24"/>
  </r>
  <r>
    <x v="34"/>
    <x v="34"/>
    <x v="6"/>
    <x v="13"/>
    <x v="18"/>
    <x v="18"/>
    <x v="25"/>
    <x v="25"/>
    <x v="2"/>
    <x v="25"/>
  </r>
  <r>
    <x v="35"/>
    <x v="35"/>
    <x v="6"/>
    <x v="14"/>
    <x v="1"/>
    <x v="16"/>
    <x v="26"/>
    <x v="26"/>
    <x v="1"/>
    <x v="26"/>
  </r>
  <r>
    <x v="36"/>
    <x v="36"/>
    <x v="6"/>
    <x v="2"/>
    <x v="7"/>
    <x v="7"/>
    <x v="18"/>
    <x v="18"/>
    <x v="1"/>
    <x v="18"/>
  </r>
  <r>
    <x v="37"/>
    <x v="37"/>
    <x v="2"/>
    <x v="8"/>
    <x v="8"/>
    <x v="10"/>
    <x v="27"/>
    <x v="27"/>
    <x v="2"/>
    <x v="27"/>
  </r>
  <r>
    <x v="38"/>
    <x v="38"/>
    <x v="12"/>
    <x v="6"/>
    <x v="9"/>
    <x v="19"/>
    <x v="28"/>
    <x v="28"/>
    <x v="2"/>
    <x v="28"/>
  </r>
  <r>
    <x v="39"/>
    <x v="39"/>
    <x v="3"/>
    <x v="19"/>
    <x v="6"/>
    <x v="15"/>
    <x v="29"/>
    <x v="29"/>
    <x v="2"/>
    <x v="29"/>
  </r>
  <r>
    <x v="40"/>
    <x v="40"/>
    <x v="3"/>
    <x v="6"/>
    <x v="7"/>
    <x v="12"/>
    <x v="30"/>
    <x v="30"/>
    <x v="2"/>
    <x v="30"/>
  </r>
  <r>
    <x v="41"/>
    <x v="41"/>
    <x v="3"/>
    <x v="9"/>
    <x v="1"/>
    <x v="10"/>
    <x v="10"/>
    <x v="10"/>
    <x v="2"/>
    <x v="10"/>
  </r>
  <r>
    <x v="42"/>
    <x v="42"/>
    <x v="3"/>
    <x v="20"/>
    <x v="14"/>
    <x v="16"/>
    <x v="24"/>
    <x v="24"/>
    <x v="2"/>
    <x v="24"/>
  </r>
  <r>
    <x v="43"/>
    <x v="43"/>
    <x v="12"/>
    <x v="19"/>
    <x v="19"/>
    <x v="16"/>
    <x v="29"/>
    <x v="29"/>
    <x v="2"/>
    <x v="29"/>
  </r>
  <r>
    <x v="44"/>
    <x v="44"/>
    <x v="2"/>
    <x v="6"/>
    <x v="11"/>
    <x v="20"/>
    <x v="24"/>
    <x v="24"/>
    <x v="2"/>
    <x v="24"/>
  </r>
  <r>
    <x v="45"/>
    <x v="45"/>
    <x v="13"/>
    <x v="21"/>
    <x v="20"/>
    <x v="21"/>
    <x v="31"/>
    <x v="31"/>
    <x v="2"/>
    <x v="31"/>
  </r>
  <r>
    <x v="46"/>
    <x v="46"/>
    <x v="12"/>
    <x v="8"/>
    <x v="1"/>
    <x v="4"/>
    <x v="4"/>
    <x v="4"/>
    <x v="1"/>
    <x v="4"/>
  </r>
  <r>
    <x v="47"/>
    <x v="47"/>
    <x v="2"/>
    <x v="19"/>
    <x v="7"/>
    <x v="18"/>
    <x v="29"/>
    <x v="29"/>
    <x v="2"/>
    <x v="29"/>
  </r>
  <r>
    <x v="48"/>
    <x v="48"/>
    <x v="12"/>
    <x v="9"/>
    <x v="5"/>
    <x v="16"/>
    <x v="19"/>
    <x v="19"/>
    <x v="1"/>
    <x v="19"/>
  </r>
  <r>
    <x v="49"/>
    <x v="49"/>
    <x v="12"/>
    <x v="9"/>
    <x v="6"/>
    <x v="16"/>
    <x v="6"/>
    <x v="6"/>
    <x v="1"/>
    <x v="6"/>
  </r>
  <r>
    <x v="50"/>
    <x v="50"/>
    <x v="3"/>
    <x v="7"/>
    <x v="8"/>
    <x v="5"/>
    <x v="32"/>
    <x v="32"/>
    <x v="2"/>
    <x v="32"/>
  </r>
  <r>
    <x v="51"/>
    <x v="51"/>
    <x v="3"/>
    <x v="18"/>
    <x v="1"/>
    <x v="4"/>
    <x v="30"/>
    <x v="30"/>
    <x v="2"/>
    <x v="30"/>
  </r>
  <r>
    <x v="52"/>
    <x v="52"/>
    <x v="3"/>
    <x v="8"/>
    <x v="18"/>
    <x v="5"/>
    <x v="33"/>
    <x v="33"/>
    <x v="2"/>
    <x v="33"/>
  </r>
  <r>
    <x v="53"/>
    <x v="53"/>
    <x v="1"/>
    <x v="22"/>
    <x v="8"/>
    <x v="2"/>
    <x v="30"/>
    <x v="30"/>
    <x v="2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8" firstHeaderRow="1" firstDataRow="1" firstDataCol="1"/>
  <pivotFields count="10">
    <pivotField compact="0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t="default"/>
      </items>
    </pivotField>
    <pivotField axis="axisRow" measureFilter="1" compact="0" showAll="0">
      <items count="55">
        <item x="1"/>
        <item x="17"/>
        <item x="23"/>
        <item x="4"/>
        <item x="27"/>
        <item x="26"/>
        <item x="19"/>
        <item x="53"/>
        <item x="35"/>
        <item x="48"/>
        <item x="34"/>
        <item x="41"/>
        <item x="37"/>
        <item x="39"/>
        <item x="32"/>
        <item x="6"/>
        <item x="15"/>
        <item x="16"/>
        <item x="22"/>
        <item x="12"/>
        <item x="11"/>
        <item x="49"/>
        <item x="29"/>
        <item x="33"/>
        <item x="10"/>
        <item x="28"/>
        <item x="20"/>
        <item x="51"/>
        <item x="18"/>
        <item x="30"/>
        <item x="36"/>
        <item x="7"/>
        <item x="5"/>
        <item x="3"/>
        <item x="31"/>
        <item x="21"/>
        <item x="50"/>
        <item x="24"/>
        <item x="47"/>
        <item x="25"/>
        <item x="45"/>
        <item x="14"/>
        <item x="46"/>
        <item x="44"/>
        <item x="42"/>
        <item x="52"/>
        <item x="43"/>
        <item x="13"/>
        <item x="8"/>
        <item x="2"/>
        <item x="40"/>
        <item x="9"/>
        <item x="38"/>
        <item x="0"/>
        <item t="default"/>
      </items>
    </pivotField>
    <pivotField compact="0" showAll="0">
      <items count="37">
        <item h="1" m="1" x="29"/>
        <item h="1" m="1" x="21"/>
        <item h="1" x="7"/>
        <item h="1" m="1" x="14"/>
        <item h="1" x="1"/>
        <item h="1" m="1" x="30"/>
        <item h="1" m="1" x="20"/>
        <item h="1" m="1" x="31"/>
        <item h="1" m="1" x="32"/>
        <item h="1" m="1" x="15"/>
        <item h="1" x="5"/>
        <item h="1" x="4"/>
        <item h="1" m="1" x="17"/>
        <item h="1" m="1" x="19"/>
        <item h="1" m="1" x="33"/>
        <item m="1" x="16"/>
        <item h="1" x="2"/>
        <item h="1" x="6"/>
        <item h="1" m="1" x="34"/>
        <item h="1" x="3"/>
        <item h="1" x="8"/>
        <item h="1" m="1" x="18"/>
        <item h="1" x="9"/>
        <item h="1" m="1" x="22"/>
        <item h="1" x="12"/>
        <item h="1" m="1" x="35"/>
        <item h="1" x="13"/>
        <item h="1" m="1" x="23"/>
        <item h="1" x="10"/>
        <item h="1" x="11"/>
        <item h="1" m="1" x="25"/>
        <item h="1" m="1" x="24"/>
        <item h="1" m="1" x="26"/>
        <item h="1" m="1" x="27"/>
        <item h="1" m="1" x="28"/>
        <item h="1" x="0"/>
        <item t="default"/>
      </items>
    </pivotField>
    <pivotField compact="0" showAll="0">
      <items count="24">
        <item x="21"/>
        <item x="22"/>
        <item x="18"/>
        <item x="10"/>
        <item x="17"/>
        <item x="20"/>
        <item x="5"/>
        <item x="16"/>
        <item x="12"/>
        <item x="15"/>
        <item x="8"/>
        <item x="6"/>
        <item x="7"/>
        <item x="9"/>
        <item x="3"/>
        <item x="4"/>
        <item x="14"/>
        <item x="2"/>
        <item x="13"/>
        <item x="1"/>
        <item x="19"/>
        <item x="11"/>
        <item x="0"/>
        <item t="default"/>
      </items>
    </pivotField>
    <pivotField compact="0" showAll="0">
      <items count="22">
        <item x="14"/>
        <item x="19"/>
        <item x="17"/>
        <item x="16"/>
        <item x="9"/>
        <item x="20"/>
        <item x="11"/>
        <item x="18"/>
        <item x="15"/>
        <item x="10"/>
        <item x="8"/>
        <item x="7"/>
        <item x="6"/>
        <item x="4"/>
        <item x="3"/>
        <item x="2"/>
        <item x="12"/>
        <item x="13"/>
        <item x="1"/>
        <item x="5"/>
        <item x="0"/>
        <item t="default"/>
      </items>
    </pivotField>
    <pivotField compact="0" showAll="0">
      <items count="23">
        <item x="17"/>
        <item x="19"/>
        <item x="21"/>
        <item x="15"/>
        <item x="18"/>
        <item x="20"/>
        <item x="10"/>
        <item x="11"/>
        <item x="9"/>
        <item x="14"/>
        <item x="12"/>
        <item x="4"/>
        <item x="3"/>
        <item x="5"/>
        <item x="6"/>
        <item x="8"/>
        <item x="1"/>
        <item x="13"/>
        <item x="7"/>
        <item x="16"/>
        <item x="2"/>
        <item x="0"/>
        <item t="default"/>
      </items>
    </pivotField>
    <pivotField dataField="1"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5">
        <item x="1"/>
        <item x="26"/>
        <item x="19"/>
        <item x="2"/>
        <item x="15"/>
        <item x="18"/>
        <item x="13"/>
        <item x="6"/>
        <item x="7"/>
        <item x="4"/>
        <item x="3"/>
        <item x="14"/>
        <item x="8"/>
        <item x="10"/>
        <item x="32"/>
        <item x="11"/>
        <item x="29"/>
        <item x="30"/>
        <item x="5"/>
        <item x="22"/>
        <item x="16"/>
        <item x="33"/>
        <item x="12"/>
        <item x="9"/>
        <item x="25"/>
        <item x="27"/>
        <item x="21"/>
        <item x="24"/>
        <item x="17"/>
        <item x="20"/>
        <item x="28"/>
        <item x="23"/>
        <item x="31"/>
        <item x="0"/>
        <item t="default"/>
      </items>
    </pivotField>
  </pivotFields>
  <rowFields count="1">
    <field x="1"/>
  </rowFields>
  <rowItems count="5">
    <i>
      <x/>
    </i>
    <i>
      <x v="4"/>
    </i>
    <i>
      <x v="8"/>
    </i>
    <i>
      <x v="9"/>
    </i>
    <i>
      <x v="49"/>
    </i>
  </rowItems>
  <colItems count="1">
    <i/>
  </colItems>
  <dataFields count="1">
    <dataField name="Sum of Total Marks" fld="6" baseField="0" baseItem="0"/>
  </dataField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13" firstHeaderRow="1" firstDataRow="1" firstDataCol="1"/>
  <pivotFields count="10">
    <pivotField axis="axisRow" measureFilter="1" compact="0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t="default"/>
      </items>
    </pivotField>
    <pivotField compact="0" showAll="0">
      <items count="55">
        <item x="1"/>
        <item x="17"/>
        <item x="23"/>
        <item x="4"/>
        <item x="27"/>
        <item x="26"/>
        <item x="19"/>
        <item x="53"/>
        <item x="35"/>
        <item x="48"/>
        <item x="34"/>
        <item x="41"/>
        <item x="37"/>
        <item x="39"/>
        <item x="32"/>
        <item x="6"/>
        <item x="15"/>
        <item x="16"/>
        <item x="22"/>
        <item x="12"/>
        <item x="11"/>
        <item x="49"/>
        <item x="29"/>
        <item x="33"/>
        <item x="10"/>
        <item x="28"/>
        <item x="20"/>
        <item x="51"/>
        <item x="18"/>
        <item x="30"/>
        <item x="36"/>
        <item x="7"/>
        <item x="5"/>
        <item x="3"/>
        <item x="31"/>
        <item x="21"/>
        <item x="50"/>
        <item x="24"/>
        <item x="47"/>
        <item x="25"/>
        <item x="45"/>
        <item x="14"/>
        <item x="46"/>
        <item x="44"/>
        <item x="42"/>
        <item x="52"/>
        <item x="43"/>
        <item x="13"/>
        <item x="8"/>
        <item x="2"/>
        <item x="40"/>
        <item x="9"/>
        <item x="38"/>
        <item x="0"/>
        <item t="default"/>
      </items>
    </pivotField>
    <pivotField compact="0" showAll="0">
      <items count="37">
        <item m="1" x="29"/>
        <item m="1" x="21"/>
        <item x="7"/>
        <item m="1" x="14"/>
        <item x="1"/>
        <item m="1" x="30"/>
        <item m="1" x="20"/>
        <item m="1" x="31"/>
        <item m="1" x="32"/>
        <item m="1" x="15"/>
        <item x="5"/>
        <item x="4"/>
        <item m="1" x="17"/>
        <item m="1" x="19"/>
        <item m="1" x="33"/>
        <item m="1" x="16"/>
        <item x="2"/>
        <item x="6"/>
        <item m="1" x="34"/>
        <item x="3"/>
        <item x="8"/>
        <item m="1" x="18"/>
        <item x="9"/>
        <item m="1" x="22"/>
        <item x="12"/>
        <item m="1" x="35"/>
        <item x="13"/>
        <item m="1" x="23"/>
        <item x="10"/>
        <item x="11"/>
        <item m="1" x="25"/>
        <item m="1" x="24"/>
        <item m="1" x="26"/>
        <item m="1" x="27"/>
        <item m="1" x="28"/>
        <item x="0"/>
        <item t="default"/>
      </items>
    </pivotField>
    <pivotField compact="0" showAll="0">
      <items count="24">
        <item x="21"/>
        <item x="22"/>
        <item x="18"/>
        <item x="10"/>
        <item x="17"/>
        <item x="20"/>
        <item x="5"/>
        <item x="16"/>
        <item x="12"/>
        <item x="15"/>
        <item x="8"/>
        <item x="6"/>
        <item x="7"/>
        <item x="9"/>
        <item x="3"/>
        <item x="4"/>
        <item x="14"/>
        <item x="2"/>
        <item x="13"/>
        <item x="1"/>
        <item x="19"/>
        <item x="11"/>
        <item x="0"/>
        <item t="default"/>
      </items>
    </pivotField>
    <pivotField compact="0" showAll="0">
      <items count="22">
        <item x="14"/>
        <item x="19"/>
        <item x="17"/>
        <item x="16"/>
        <item x="9"/>
        <item x="20"/>
        <item x="11"/>
        <item x="18"/>
        <item x="15"/>
        <item x="10"/>
        <item x="8"/>
        <item x="7"/>
        <item x="6"/>
        <item x="4"/>
        <item x="3"/>
        <item x="2"/>
        <item x="12"/>
        <item x="13"/>
        <item x="1"/>
        <item x="5"/>
        <item x="0"/>
        <item t="default"/>
      </items>
    </pivotField>
    <pivotField compact="0" showAll="0">
      <items count="23">
        <item x="17"/>
        <item x="19"/>
        <item x="21"/>
        <item x="15"/>
        <item x="18"/>
        <item x="20"/>
        <item x="10"/>
        <item x="11"/>
        <item x="9"/>
        <item x="14"/>
        <item x="12"/>
        <item x="4"/>
        <item x="3"/>
        <item x="5"/>
        <item x="6"/>
        <item x="8"/>
        <item x="1"/>
        <item x="13"/>
        <item x="7"/>
        <item x="16"/>
        <item x="2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dataField="1"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5">
        <item x="1"/>
        <item x="26"/>
        <item x="19"/>
        <item x="2"/>
        <item x="15"/>
        <item x="18"/>
        <item x="13"/>
        <item x="6"/>
        <item x="7"/>
        <item x="4"/>
        <item x="3"/>
        <item x="14"/>
        <item x="8"/>
        <item x="10"/>
        <item x="32"/>
        <item x="11"/>
        <item x="29"/>
        <item x="30"/>
        <item x="5"/>
        <item x="22"/>
        <item x="16"/>
        <item x="33"/>
        <item x="12"/>
        <item x="9"/>
        <item x="25"/>
        <item x="27"/>
        <item x="21"/>
        <item x="24"/>
        <item x="17"/>
        <item x="20"/>
        <item x="28"/>
        <item x="23"/>
        <item x="31"/>
        <item x="0"/>
        <item t="default"/>
      </items>
    </pivotField>
  </pivotFields>
  <rowFields count="1">
    <field x="0"/>
  </rowFields>
  <rowItems count="10">
    <i>
      <x/>
    </i>
    <i>
      <x v="1"/>
    </i>
    <i>
      <x v="16"/>
    </i>
    <i>
      <x v="19"/>
    </i>
    <i>
      <x v="21"/>
    </i>
    <i>
      <x v="25"/>
    </i>
    <i>
      <x v="26"/>
    </i>
    <i>
      <x v="34"/>
    </i>
    <i>
      <x v="35"/>
    </i>
    <i>
      <x v="47"/>
    </i>
  </rowItems>
  <colItems count="1">
    <i/>
  </colItems>
  <dataFields count="1">
    <dataField name="Sum of Average Marks" fld="7" baseField="0" baseItem="0"/>
  </dataFields>
  <pivotTableStyleInfo name="PivotStylePreset2_Accent1" showRowHeaders="1" showColHeaders="1"/>
  <filters count="1">
    <filter evalOrder="-1" fld="0" iMeasureFld="0" id="3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17" firstHeaderRow="1" firstDataRow="1" firstDataCol="1"/>
  <pivotFields count="10">
    <pivotField compact="0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t="default"/>
      </items>
    </pivotField>
    <pivotField compact="0" showAll="0">
      <items count="55">
        <item x="1"/>
        <item x="17"/>
        <item x="23"/>
        <item x="4"/>
        <item x="27"/>
        <item x="26"/>
        <item x="19"/>
        <item x="53"/>
        <item x="35"/>
        <item x="48"/>
        <item x="34"/>
        <item x="41"/>
        <item x="37"/>
        <item x="39"/>
        <item x="32"/>
        <item x="6"/>
        <item x="15"/>
        <item x="16"/>
        <item x="22"/>
        <item x="12"/>
        <item x="11"/>
        <item x="49"/>
        <item x="29"/>
        <item x="33"/>
        <item x="10"/>
        <item x="28"/>
        <item x="20"/>
        <item x="51"/>
        <item x="18"/>
        <item x="30"/>
        <item x="36"/>
        <item x="7"/>
        <item x="5"/>
        <item x="3"/>
        <item x="31"/>
        <item x="21"/>
        <item x="50"/>
        <item x="24"/>
        <item x="47"/>
        <item x="25"/>
        <item x="45"/>
        <item x="14"/>
        <item x="46"/>
        <item x="44"/>
        <item x="42"/>
        <item x="52"/>
        <item x="43"/>
        <item x="13"/>
        <item x="8"/>
        <item x="2"/>
        <item x="40"/>
        <item x="9"/>
        <item x="38"/>
        <item x="0"/>
        <item t="default"/>
      </items>
    </pivotField>
    <pivotField axis="axisRow" compact="0" showAll="0">
      <items count="37">
        <item m="1" x="29"/>
        <item m="1" x="21"/>
        <item x="7"/>
        <item m="1" x="14"/>
        <item x="1"/>
        <item m="1" x="30"/>
        <item m="1" x="20"/>
        <item m="1" x="31"/>
        <item m="1" x="32"/>
        <item m="1" x="15"/>
        <item x="5"/>
        <item x="4"/>
        <item m="1" x="17"/>
        <item m="1" x="19"/>
        <item m="1" x="33"/>
        <item m="1" x="16"/>
        <item x="2"/>
        <item x="6"/>
        <item m="1" x="34"/>
        <item x="3"/>
        <item x="8"/>
        <item m="1" x="18"/>
        <item x="9"/>
        <item m="1" x="22"/>
        <item x="12"/>
        <item m="1" x="35"/>
        <item x="13"/>
        <item m="1" x="23"/>
        <item x="10"/>
        <item x="11"/>
        <item m="1" x="25"/>
        <item m="1" x="24"/>
        <item m="1" x="26"/>
        <item m="1" x="27"/>
        <item m="1" x="28"/>
        <item x="0"/>
        <item t="default"/>
      </items>
    </pivotField>
    <pivotField compact="0" showAll="0">
      <items count="24">
        <item x="21"/>
        <item x="22"/>
        <item x="18"/>
        <item x="10"/>
        <item x="17"/>
        <item x="20"/>
        <item x="5"/>
        <item x="16"/>
        <item x="12"/>
        <item x="15"/>
        <item x="8"/>
        <item x="6"/>
        <item x="7"/>
        <item x="9"/>
        <item x="3"/>
        <item x="4"/>
        <item x="14"/>
        <item x="2"/>
        <item x="13"/>
        <item x="1"/>
        <item x="19"/>
        <item x="11"/>
        <item x="0"/>
        <item t="default"/>
      </items>
    </pivotField>
    <pivotField compact="0" showAll="0">
      <items count="22">
        <item x="14"/>
        <item x="19"/>
        <item x="17"/>
        <item x="16"/>
        <item x="9"/>
        <item x="20"/>
        <item x="11"/>
        <item x="18"/>
        <item x="15"/>
        <item x="10"/>
        <item x="8"/>
        <item x="7"/>
        <item x="6"/>
        <item x="4"/>
        <item x="3"/>
        <item x="2"/>
        <item x="12"/>
        <item x="13"/>
        <item x="1"/>
        <item x="5"/>
        <item x="0"/>
        <item t="default"/>
      </items>
    </pivotField>
    <pivotField compact="0" showAll="0">
      <items count="23">
        <item x="17"/>
        <item x="19"/>
        <item x="21"/>
        <item x="15"/>
        <item x="18"/>
        <item x="20"/>
        <item x="10"/>
        <item x="11"/>
        <item x="9"/>
        <item x="14"/>
        <item x="12"/>
        <item x="4"/>
        <item x="3"/>
        <item x="5"/>
        <item x="6"/>
        <item x="8"/>
        <item x="1"/>
        <item x="13"/>
        <item x="7"/>
        <item x="16"/>
        <item x="2"/>
        <item x="0"/>
        <item t="default"/>
      </items>
    </pivotField>
    <pivotField dataField="1"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5">
        <item x="1"/>
        <item x="26"/>
        <item x="19"/>
        <item x="2"/>
        <item x="15"/>
        <item x="18"/>
        <item x="13"/>
        <item x="6"/>
        <item x="7"/>
        <item x="4"/>
        <item x="3"/>
        <item x="14"/>
        <item x="8"/>
        <item x="10"/>
        <item x="32"/>
        <item x="11"/>
        <item x="29"/>
        <item x="30"/>
        <item x="5"/>
        <item x="22"/>
        <item x="16"/>
        <item x="33"/>
        <item x="12"/>
        <item x="9"/>
        <item x="25"/>
        <item x="27"/>
        <item x="21"/>
        <item x="24"/>
        <item x="17"/>
        <item x="20"/>
        <item x="28"/>
        <item x="23"/>
        <item x="31"/>
        <item x="0"/>
        <item t="default"/>
      </items>
    </pivotField>
  </pivotFields>
  <rowFields count="1">
    <field x="2"/>
  </rowFields>
  <rowItems count="14">
    <i>
      <x v="2"/>
    </i>
    <i>
      <x v="4"/>
    </i>
    <i>
      <x v="10"/>
    </i>
    <i>
      <x v="11"/>
    </i>
    <i>
      <x v="16"/>
    </i>
    <i>
      <x v="17"/>
    </i>
    <i>
      <x v="19"/>
    </i>
    <i>
      <x v="20"/>
    </i>
    <i>
      <x v="22"/>
    </i>
    <i>
      <x v="24"/>
    </i>
    <i>
      <x v="26"/>
    </i>
    <i>
      <x v="28"/>
    </i>
    <i>
      <x v="29"/>
    </i>
    <i>
      <x v="35"/>
    </i>
  </rowItems>
  <colItems count="1">
    <i/>
  </colItems>
  <dataFields count="1">
    <dataField name="Sum of Total Marks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17" firstHeaderRow="1" firstDataRow="1" firstDataCol="1"/>
  <pivotFields count="10">
    <pivotField dataField="1" compact="0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t="default"/>
      </items>
    </pivotField>
    <pivotField compact="0" showAll="0">
      <items count="55">
        <item x="1"/>
        <item x="17"/>
        <item x="23"/>
        <item x="4"/>
        <item x="27"/>
        <item x="26"/>
        <item x="19"/>
        <item x="53"/>
        <item x="35"/>
        <item x="48"/>
        <item x="34"/>
        <item x="41"/>
        <item x="37"/>
        <item x="39"/>
        <item x="32"/>
        <item x="6"/>
        <item x="15"/>
        <item x="16"/>
        <item x="22"/>
        <item x="12"/>
        <item x="11"/>
        <item x="49"/>
        <item x="29"/>
        <item x="33"/>
        <item x="10"/>
        <item x="28"/>
        <item x="20"/>
        <item x="51"/>
        <item x="18"/>
        <item x="30"/>
        <item x="36"/>
        <item x="7"/>
        <item x="5"/>
        <item x="3"/>
        <item x="31"/>
        <item x="21"/>
        <item x="50"/>
        <item x="24"/>
        <item x="47"/>
        <item x="25"/>
        <item x="45"/>
        <item x="14"/>
        <item x="46"/>
        <item x="44"/>
        <item x="42"/>
        <item x="52"/>
        <item x="43"/>
        <item x="13"/>
        <item x="8"/>
        <item x="2"/>
        <item x="40"/>
        <item x="9"/>
        <item x="38"/>
        <item x="0"/>
        <item t="default"/>
      </items>
    </pivotField>
    <pivotField axis="axisRow" compact="0" showAll="0">
      <items count="37">
        <item m="1" x="29"/>
        <item m="1" x="21"/>
        <item x="7"/>
        <item m="1" x="14"/>
        <item x="1"/>
        <item m="1" x="30"/>
        <item m="1" x="20"/>
        <item m="1" x="31"/>
        <item m="1" x="32"/>
        <item m="1" x="15"/>
        <item x="5"/>
        <item x="4"/>
        <item m="1" x="17"/>
        <item m="1" x="19"/>
        <item m="1" x="33"/>
        <item m="1" x="16"/>
        <item x="2"/>
        <item x="6"/>
        <item m="1" x="34"/>
        <item x="3"/>
        <item x="8"/>
        <item m="1" x="18"/>
        <item x="9"/>
        <item m="1" x="22"/>
        <item x="12"/>
        <item m="1" x="35"/>
        <item x="13"/>
        <item m="1" x="23"/>
        <item x="10"/>
        <item x="11"/>
        <item m="1" x="25"/>
        <item m="1" x="24"/>
        <item m="1" x="26"/>
        <item m="1" x="27"/>
        <item m="1" x="28"/>
        <item x="0"/>
        <item t="default"/>
      </items>
    </pivotField>
    <pivotField compact="0" showAll="0">
      <items count="24">
        <item x="21"/>
        <item x="22"/>
        <item x="18"/>
        <item x="10"/>
        <item x="17"/>
        <item x="20"/>
        <item x="5"/>
        <item x="16"/>
        <item x="12"/>
        <item x="15"/>
        <item x="8"/>
        <item x="6"/>
        <item x="7"/>
        <item x="9"/>
        <item x="3"/>
        <item x="4"/>
        <item x="14"/>
        <item x="2"/>
        <item x="13"/>
        <item x="1"/>
        <item x="19"/>
        <item x="11"/>
        <item x="0"/>
        <item t="default"/>
      </items>
    </pivotField>
    <pivotField compact="0" showAll="0">
      <items count="22">
        <item x="14"/>
        <item x="19"/>
        <item x="17"/>
        <item x="16"/>
        <item x="9"/>
        <item x="20"/>
        <item x="11"/>
        <item x="18"/>
        <item x="15"/>
        <item x="10"/>
        <item x="8"/>
        <item x="7"/>
        <item x="6"/>
        <item x="4"/>
        <item x="3"/>
        <item x="2"/>
        <item x="12"/>
        <item x="13"/>
        <item x="1"/>
        <item x="5"/>
        <item x="0"/>
        <item t="default"/>
      </items>
    </pivotField>
    <pivotField compact="0" showAll="0">
      <items count="23">
        <item x="17"/>
        <item x="19"/>
        <item x="21"/>
        <item x="15"/>
        <item x="18"/>
        <item x="20"/>
        <item x="10"/>
        <item x="11"/>
        <item x="9"/>
        <item x="14"/>
        <item x="12"/>
        <item x="4"/>
        <item x="3"/>
        <item x="5"/>
        <item x="6"/>
        <item x="8"/>
        <item x="1"/>
        <item x="13"/>
        <item x="7"/>
        <item x="16"/>
        <item x="2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5">
        <item x="1"/>
        <item x="26"/>
        <item x="19"/>
        <item x="2"/>
        <item x="15"/>
        <item x="18"/>
        <item x="13"/>
        <item x="6"/>
        <item x="7"/>
        <item x="4"/>
        <item x="3"/>
        <item x="14"/>
        <item x="8"/>
        <item x="10"/>
        <item x="32"/>
        <item x="11"/>
        <item x="29"/>
        <item x="30"/>
        <item x="5"/>
        <item x="22"/>
        <item x="16"/>
        <item x="33"/>
        <item x="12"/>
        <item x="9"/>
        <item x="25"/>
        <item x="27"/>
        <item x="21"/>
        <item x="24"/>
        <item x="17"/>
        <item x="20"/>
        <item x="28"/>
        <item x="23"/>
        <item x="31"/>
        <item x="0"/>
        <item t="default"/>
      </items>
    </pivotField>
  </pivotFields>
  <rowFields count="1">
    <field x="2"/>
  </rowFields>
  <rowItems count="14">
    <i>
      <x v="2"/>
    </i>
    <i>
      <x v="4"/>
    </i>
    <i>
      <x v="10"/>
    </i>
    <i>
      <x v="11"/>
    </i>
    <i>
      <x v="16"/>
    </i>
    <i>
      <x v="17"/>
    </i>
    <i>
      <x v="19"/>
    </i>
    <i>
      <x v="20"/>
    </i>
    <i>
      <x v="22"/>
    </i>
    <i>
      <x v="24"/>
    </i>
    <i>
      <x v="26"/>
    </i>
    <i>
      <x v="28"/>
    </i>
    <i>
      <x v="29"/>
    </i>
    <i>
      <x v="35"/>
    </i>
  </rowItems>
  <colItems count="1">
    <i/>
  </colItems>
  <dataFields count="1">
    <dataField name="Count of Studen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4" firstHeaderRow="0" firstDataRow="1" firstDataCol="0"/>
  <pivotFields count="10">
    <pivotField compact="0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t="default"/>
      </items>
    </pivotField>
    <pivotField compact="0" showAll="0">
      <items count="55">
        <item x="1"/>
        <item x="17"/>
        <item x="23"/>
        <item x="4"/>
        <item x="27"/>
        <item x="26"/>
        <item x="19"/>
        <item x="53"/>
        <item x="35"/>
        <item x="48"/>
        <item x="34"/>
        <item x="41"/>
        <item x="37"/>
        <item x="39"/>
        <item x="32"/>
        <item x="6"/>
        <item x="15"/>
        <item x="16"/>
        <item x="22"/>
        <item x="12"/>
        <item x="11"/>
        <item x="49"/>
        <item x="29"/>
        <item x="33"/>
        <item x="10"/>
        <item x="28"/>
        <item x="20"/>
        <item x="51"/>
        <item x="18"/>
        <item x="30"/>
        <item x="36"/>
        <item x="7"/>
        <item x="5"/>
        <item x="3"/>
        <item x="31"/>
        <item x="21"/>
        <item x="50"/>
        <item x="24"/>
        <item x="47"/>
        <item x="25"/>
        <item x="45"/>
        <item x="14"/>
        <item x="46"/>
        <item x="44"/>
        <item x="42"/>
        <item x="52"/>
        <item x="43"/>
        <item x="13"/>
        <item x="8"/>
        <item x="2"/>
        <item x="40"/>
        <item x="9"/>
        <item x="38"/>
        <item x="0"/>
        <item t="default"/>
      </items>
    </pivotField>
    <pivotField compact="0" showAll="0">
      <items count="37">
        <item m="1" x="29"/>
        <item m="1" x="21"/>
        <item x="7"/>
        <item m="1" x="14"/>
        <item x="1"/>
        <item m="1" x="30"/>
        <item m="1" x="20"/>
        <item m="1" x="31"/>
        <item m="1" x="32"/>
        <item m="1" x="15"/>
        <item x="5"/>
        <item x="4"/>
        <item m="1" x="17"/>
        <item m="1" x="19"/>
        <item m="1" x="33"/>
        <item m="1" x="16"/>
        <item x="2"/>
        <item x="6"/>
        <item m="1" x="34"/>
        <item x="3"/>
        <item x="8"/>
        <item m="1" x="18"/>
        <item x="9"/>
        <item m="1" x="22"/>
        <item x="12"/>
        <item m="1" x="35"/>
        <item x="13"/>
        <item m="1" x="23"/>
        <item x="10"/>
        <item x="11"/>
        <item m="1" x="25"/>
        <item m="1" x="24"/>
        <item m="1" x="26"/>
        <item m="1" x="27"/>
        <item m="1" x="28"/>
        <item x="0"/>
        <item t="default"/>
      </items>
    </pivotField>
    <pivotField dataField="1" compact="0" showAll="0">
      <items count="24">
        <item x="21"/>
        <item x="22"/>
        <item x="18"/>
        <item x="10"/>
        <item x="17"/>
        <item x="20"/>
        <item x="5"/>
        <item x="16"/>
        <item x="12"/>
        <item x="15"/>
        <item x="8"/>
        <item x="6"/>
        <item x="7"/>
        <item x="9"/>
        <item x="3"/>
        <item x="4"/>
        <item x="14"/>
        <item x="2"/>
        <item x="13"/>
        <item x="1"/>
        <item x="19"/>
        <item x="11"/>
        <item x="0"/>
        <item t="default"/>
      </items>
    </pivotField>
    <pivotField dataField="1" compact="0" showAll="0">
      <items count="22">
        <item x="14"/>
        <item x="19"/>
        <item x="17"/>
        <item x="16"/>
        <item x="9"/>
        <item x="20"/>
        <item x="11"/>
        <item x="18"/>
        <item x="15"/>
        <item x="10"/>
        <item x="8"/>
        <item x="7"/>
        <item x="6"/>
        <item x="4"/>
        <item x="3"/>
        <item x="2"/>
        <item x="12"/>
        <item x="13"/>
        <item x="1"/>
        <item x="5"/>
        <item x="0"/>
        <item t="default"/>
      </items>
    </pivotField>
    <pivotField dataField="1" compact="0" showAll="0">
      <items count="23">
        <item x="17"/>
        <item x="19"/>
        <item x="21"/>
        <item x="15"/>
        <item x="18"/>
        <item x="20"/>
        <item x="10"/>
        <item x="11"/>
        <item x="9"/>
        <item x="14"/>
        <item x="12"/>
        <item x="4"/>
        <item x="3"/>
        <item x="5"/>
        <item x="6"/>
        <item x="8"/>
        <item x="1"/>
        <item x="13"/>
        <item x="7"/>
        <item x="16"/>
        <item x="2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5">
        <item x="1"/>
        <item x="26"/>
        <item x="19"/>
        <item x="2"/>
        <item x="15"/>
        <item x="18"/>
        <item x="13"/>
        <item x="6"/>
        <item x="7"/>
        <item x="4"/>
        <item x="3"/>
        <item x="14"/>
        <item x="8"/>
        <item x="10"/>
        <item x="32"/>
        <item x="11"/>
        <item x="29"/>
        <item x="30"/>
        <item x="5"/>
        <item x="22"/>
        <item x="16"/>
        <item x="33"/>
        <item x="12"/>
        <item x="9"/>
        <item x="25"/>
        <item x="27"/>
        <item x="21"/>
        <item x="24"/>
        <item x="17"/>
        <item x="20"/>
        <item x="28"/>
        <item x="23"/>
        <item x="31"/>
        <item x="0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" fld="3" subtotal="average" baseField="0" baseItem="0"/>
    <dataField name="Average of Computer Science" fld="4" subtotal="average" baseField="0" baseItem="0"/>
    <dataField name="Average of English" fld="5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B6" firstHeaderRow="1" firstDataRow="1" firstDataCol="1"/>
  <pivotFields count="10">
    <pivotField dataField="1" compact="0" showAll="0">
      <items count="5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0"/>
        <item t="default"/>
      </items>
    </pivotField>
    <pivotField compact="0" showAll="0">
      <items count="55">
        <item x="1"/>
        <item x="17"/>
        <item x="23"/>
        <item x="4"/>
        <item x="27"/>
        <item x="26"/>
        <item x="19"/>
        <item x="53"/>
        <item x="35"/>
        <item x="48"/>
        <item x="34"/>
        <item x="41"/>
        <item x="37"/>
        <item x="39"/>
        <item x="32"/>
        <item x="6"/>
        <item x="15"/>
        <item x="16"/>
        <item x="22"/>
        <item x="12"/>
        <item x="11"/>
        <item x="49"/>
        <item x="29"/>
        <item x="33"/>
        <item x="10"/>
        <item x="28"/>
        <item x="20"/>
        <item x="51"/>
        <item x="18"/>
        <item x="30"/>
        <item x="36"/>
        <item x="7"/>
        <item x="5"/>
        <item x="3"/>
        <item x="31"/>
        <item x="21"/>
        <item x="50"/>
        <item x="24"/>
        <item x="47"/>
        <item x="25"/>
        <item x="45"/>
        <item x="14"/>
        <item x="46"/>
        <item x="44"/>
        <item x="42"/>
        <item x="52"/>
        <item x="43"/>
        <item x="13"/>
        <item x="8"/>
        <item x="2"/>
        <item x="40"/>
        <item x="9"/>
        <item x="38"/>
        <item x="0"/>
        <item t="default"/>
      </items>
    </pivotField>
    <pivotField compact="0" showAll="0">
      <items count="37">
        <item m="1" x="29"/>
        <item m="1" x="21"/>
        <item x="7"/>
        <item m="1" x="14"/>
        <item x="1"/>
        <item m="1" x="30"/>
        <item m="1" x="20"/>
        <item m="1" x="31"/>
        <item m="1" x="32"/>
        <item m="1" x="15"/>
        <item x="5"/>
        <item x="4"/>
        <item m="1" x="17"/>
        <item m="1" x="19"/>
        <item m="1" x="33"/>
        <item m="1" x="16"/>
        <item x="2"/>
        <item x="6"/>
        <item m="1" x="34"/>
        <item x="3"/>
        <item x="8"/>
        <item m="1" x="18"/>
        <item x="9"/>
        <item m="1" x="22"/>
        <item x="12"/>
        <item m="1" x="35"/>
        <item x="13"/>
        <item m="1" x="23"/>
        <item x="10"/>
        <item x="11"/>
        <item m="1" x="25"/>
        <item m="1" x="24"/>
        <item m="1" x="26"/>
        <item m="1" x="27"/>
        <item m="1" x="28"/>
        <item x="0"/>
        <item t="default"/>
      </items>
    </pivotField>
    <pivotField compact="0" showAll="0">
      <items count="24">
        <item x="21"/>
        <item x="22"/>
        <item x="18"/>
        <item x="10"/>
        <item x="17"/>
        <item x="20"/>
        <item x="5"/>
        <item x="16"/>
        <item x="12"/>
        <item x="15"/>
        <item x="8"/>
        <item x="6"/>
        <item x="7"/>
        <item x="9"/>
        <item x="3"/>
        <item x="4"/>
        <item x="14"/>
        <item x="2"/>
        <item x="13"/>
        <item x="1"/>
        <item x="19"/>
        <item x="11"/>
        <item x="0"/>
        <item t="default"/>
      </items>
    </pivotField>
    <pivotField compact="0" showAll="0">
      <items count="22">
        <item x="14"/>
        <item x="19"/>
        <item x="17"/>
        <item x="16"/>
        <item x="9"/>
        <item x="20"/>
        <item x="11"/>
        <item x="18"/>
        <item x="15"/>
        <item x="10"/>
        <item x="8"/>
        <item x="7"/>
        <item x="6"/>
        <item x="4"/>
        <item x="3"/>
        <item x="2"/>
        <item x="12"/>
        <item x="13"/>
        <item x="1"/>
        <item x="5"/>
        <item x="0"/>
        <item t="default"/>
      </items>
    </pivotField>
    <pivotField compact="0" showAll="0">
      <items count="23">
        <item x="17"/>
        <item x="19"/>
        <item x="21"/>
        <item x="15"/>
        <item x="18"/>
        <item x="20"/>
        <item x="10"/>
        <item x="11"/>
        <item x="9"/>
        <item x="14"/>
        <item x="12"/>
        <item x="4"/>
        <item x="3"/>
        <item x="5"/>
        <item x="6"/>
        <item x="8"/>
        <item x="1"/>
        <item x="13"/>
        <item x="7"/>
        <item x="16"/>
        <item x="2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compact="0" showAll="0">
      <items count="35">
        <item x="31"/>
        <item x="23"/>
        <item x="28"/>
        <item x="20"/>
        <item x="17"/>
        <item x="24"/>
        <item x="21"/>
        <item x="27"/>
        <item x="25"/>
        <item x="9"/>
        <item x="12"/>
        <item x="33"/>
        <item x="16"/>
        <item x="22"/>
        <item x="5"/>
        <item x="30"/>
        <item x="29"/>
        <item x="11"/>
        <item x="32"/>
        <item x="10"/>
        <item x="8"/>
        <item x="14"/>
        <item x="3"/>
        <item x="4"/>
        <item x="7"/>
        <item x="6"/>
        <item x="13"/>
        <item x="18"/>
        <item x="15"/>
        <item x="2"/>
        <item x="19"/>
        <item x="26"/>
        <item x="1"/>
        <item x="0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5">
        <item x="1"/>
        <item x="26"/>
        <item x="19"/>
        <item x="2"/>
        <item x="15"/>
        <item x="18"/>
        <item x="13"/>
        <item x="6"/>
        <item x="7"/>
        <item x="4"/>
        <item x="3"/>
        <item x="14"/>
        <item x="8"/>
        <item x="10"/>
        <item x="32"/>
        <item x="11"/>
        <item x="29"/>
        <item x="30"/>
        <item x="5"/>
        <item x="22"/>
        <item x="16"/>
        <item x="33"/>
        <item x="12"/>
        <item x="9"/>
        <item x="25"/>
        <item x="27"/>
        <item x="21"/>
        <item x="24"/>
        <item x="17"/>
        <item x="20"/>
        <item x="28"/>
        <item x="23"/>
        <item x="31"/>
        <item x="0"/>
        <item t="default"/>
      </items>
    </pivotField>
  </pivotFields>
  <rowFields count="1">
    <field x="8"/>
  </rowFields>
  <rowItems count="3">
    <i>
      <x/>
    </i>
    <i>
      <x v="1"/>
    </i>
    <i>
      <x v="2"/>
    </i>
  </rowItems>
  <colItems count="1">
    <i/>
  </colItems>
  <dataFields count="1">
    <dataField name="Count of Student 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ank_Students" sourceName="Rank Students">
  <pivotTables>
    <pivotTable tabId="2" name="PivotTable2"/>
    <pivotTable tabId="4" name="PivotTable3"/>
    <pivotTable tabId="9" name="PivotTable4"/>
    <pivotTable tabId="10" name="PivotTable5"/>
    <pivotTable tabId="11" name="PivotTable6"/>
    <pivotTable tabId="14" name="PivotTable7"/>
  </pivotTables>
  <data>
    <tabular pivotCacheId="1">
      <items count="34">
        <i x="1" s="1"/>
        <i x="26" s="1"/>
        <i x="19" s="1"/>
        <i x="2" s="1"/>
        <i x="15" s="1"/>
        <i x="18" s="1"/>
        <i x="13" s="1"/>
        <i x="6" s="1"/>
        <i x="7" s="1"/>
        <i x="4" s="1"/>
        <i x="3" s="1"/>
        <i x="14" s="1"/>
        <i x="8" s="1"/>
        <i x="10" s="1"/>
        <i x="32" s="1"/>
        <i x="11" s="1"/>
        <i x="29" s="1"/>
        <i x="30" s="1"/>
        <i x="5" s="1"/>
        <i x="22" s="1"/>
        <i x="16" s="1"/>
        <i x="33" s="1"/>
        <i x="12" s="1"/>
        <i x="9" s="1"/>
        <i x="25" s="1"/>
        <i x="27" s="1"/>
        <i x="21" s="1"/>
        <i x="24" s="1"/>
        <i x="17" s="1"/>
        <i x="20" s="1"/>
        <i x="28" s="1"/>
        <i x="23" s="1"/>
        <i x="31" s="1"/>
        <i x="0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ank Students" cache="Slicer_Rank_Students" caption="Rank Students" startItem="2" rowHeight="225425"/>
</slicer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C21" sqref="C21"/>
    </sheetView>
  </sheetViews>
  <sheetFormatPr defaultColWidth="9.14285714285714" defaultRowHeight="15" outlineLevelRow="7" outlineLevelCol="1"/>
  <cols>
    <col min="1" max="1" width="14.1428571428571"/>
    <col min="2" max="2" width="19.4285714285714"/>
  </cols>
  <sheetData>
    <row r="3" spans="1:2">
      <c r="A3" t="s">
        <v>0</v>
      </c>
      <c r="B3" t="s">
        <v>1</v>
      </c>
    </row>
    <row r="4" spans="1:2">
      <c r="A4" t="s">
        <v>2</v>
      </c>
      <c r="B4">
        <v>290</v>
      </c>
    </row>
    <row r="5" spans="1:2">
      <c r="A5" t="s">
        <v>3</v>
      </c>
      <c r="B5">
        <v>287</v>
      </c>
    </row>
    <row r="6" spans="1:2">
      <c r="A6" t="s">
        <v>4</v>
      </c>
      <c r="B6">
        <v>289</v>
      </c>
    </row>
    <row r="7" spans="1:2">
      <c r="A7" t="s">
        <v>5</v>
      </c>
      <c r="B7">
        <v>287</v>
      </c>
    </row>
    <row r="8" spans="1:2">
      <c r="A8" t="s">
        <v>6</v>
      </c>
      <c r="B8">
        <v>286</v>
      </c>
    </row>
  </sheetData>
  <pageMargins left="0.75" right="0.75" top="1" bottom="1" header="0.5" footer="0.5"/>
  <pageSetup paperSize="1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3"/>
  <sheetViews>
    <sheetView workbookViewId="0">
      <selection activeCell="C21" sqref="C21"/>
    </sheetView>
  </sheetViews>
  <sheetFormatPr defaultColWidth="9.14285714285714" defaultRowHeight="15" outlineLevelCol="1"/>
  <cols>
    <col min="1" max="1" width="12.8571428571429"/>
    <col min="2" max="2" width="22.7142857142857"/>
  </cols>
  <sheetData>
    <row r="3" spans="1:2">
      <c r="A3" t="s">
        <v>7</v>
      </c>
      <c r="B3" t="s">
        <v>8</v>
      </c>
    </row>
    <row r="4" spans="1:2">
      <c r="A4" t="s">
        <v>9</v>
      </c>
      <c r="B4">
        <v>96.6666666666667</v>
      </c>
    </row>
    <row r="5" spans="1:2">
      <c r="A5" t="s">
        <v>10</v>
      </c>
      <c r="B5">
        <v>95.3333333333333</v>
      </c>
    </row>
    <row r="6" spans="1:2">
      <c r="A6" t="s">
        <v>11</v>
      </c>
      <c r="B6">
        <v>93</v>
      </c>
    </row>
    <row r="7" spans="1:2">
      <c r="A7" t="s">
        <v>12</v>
      </c>
      <c r="B7">
        <v>94.6666666666667</v>
      </c>
    </row>
    <row r="8" spans="1:2">
      <c r="A8" t="s">
        <v>13</v>
      </c>
      <c r="B8">
        <v>93</v>
      </c>
    </row>
    <row r="9" spans="1:2">
      <c r="A9" t="s">
        <v>14</v>
      </c>
      <c r="B9">
        <v>93.3333333333333</v>
      </c>
    </row>
    <row r="10" spans="1:2">
      <c r="A10" t="s">
        <v>15</v>
      </c>
      <c r="B10">
        <v>95.6666666666667</v>
      </c>
    </row>
    <row r="11" spans="1:2">
      <c r="A11" t="s">
        <v>16</v>
      </c>
      <c r="B11">
        <v>96.3333333333333</v>
      </c>
    </row>
    <row r="12" spans="1:2">
      <c r="A12" t="s">
        <v>17</v>
      </c>
      <c r="B12">
        <v>93.3333333333333</v>
      </c>
    </row>
    <row r="13" spans="1:2">
      <c r="A13" t="s">
        <v>18</v>
      </c>
      <c r="B13">
        <v>95.6666666666667</v>
      </c>
    </row>
  </sheetData>
  <pageMargins left="0.75" right="0.75" top="1" bottom="1" header="0.5" footer="0.5"/>
  <pageSetup paperSize="1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D21" sqref="D21"/>
    </sheetView>
  </sheetViews>
  <sheetFormatPr defaultColWidth="9.14285714285714" defaultRowHeight="15" outlineLevelCol="1"/>
  <cols>
    <col min="1" max="1" width="18.7142857142857"/>
    <col min="2" max="2" width="19.4285714285714"/>
  </cols>
  <sheetData>
    <row r="3" spans="1:2">
      <c r="A3" t="s">
        <v>19</v>
      </c>
      <c r="B3" t="s">
        <v>1</v>
      </c>
    </row>
    <row r="4" spans="1:2">
      <c r="A4" t="s">
        <v>20</v>
      </c>
      <c r="B4">
        <v>270</v>
      </c>
    </row>
    <row r="5" spans="1:2">
      <c r="A5" t="s">
        <v>21</v>
      </c>
      <c r="B5">
        <v>2126</v>
      </c>
    </row>
    <row r="6" spans="1:2">
      <c r="A6" t="s">
        <v>22</v>
      </c>
      <c r="B6">
        <v>795</v>
      </c>
    </row>
    <row r="7" spans="1:2">
      <c r="A7" t="s">
        <v>23</v>
      </c>
      <c r="B7">
        <v>1365</v>
      </c>
    </row>
    <row r="8" spans="1:2">
      <c r="A8" t="s">
        <v>24</v>
      </c>
      <c r="B8">
        <v>2902</v>
      </c>
    </row>
    <row r="9" spans="1:2">
      <c r="A9" t="s">
        <v>25</v>
      </c>
      <c r="B9">
        <v>1093</v>
      </c>
    </row>
    <row r="10" spans="1:2">
      <c r="A10" t="s">
        <v>26</v>
      </c>
      <c r="B10">
        <v>2107</v>
      </c>
    </row>
    <row r="11" spans="1:2">
      <c r="A11" t="s">
        <v>27</v>
      </c>
      <c r="B11">
        <v>284</v>
      </c>
    </row>
    <row r="12" spans="1:2">
      <c r="A12" t="s">
        <v>28</v>
      </c>
      <c r="B12">
        <v>261</v>
      </c>
    </row>
    <row r="13" spans="1:2">
      <c r="A13" t="s">
        <v>29</v>
      </c>
      <c r="B13">
        <v>1338</v>
      </c>
    </row>
    <row r="14" spans="1:2">
      <c r="A14" t="s">
        <v>30</v>
      </c>
      <c r="B14">
        <v>227</v>
      </c>
    </row>
    <row r="15" spans="1:2">
      <c r="A15" t="s">
        <v>31</v>
      </c>
      <c r="B15">
        <v>280</v>
      </c>
    </row>
    <row r="16" spans="1:2">
      <c r="A16" t="s">
        <v>32</v>
      </c>
      <c r="B16">
        <v>1015</v>
      </c>
    </row>
    <row r="17" spans="1:1">
      <c r="A17" t="s">
        <v>33</v>
      </c>
    </row>
  </sheetData>
  <pageMargins left="0.75" right="0.75" top="1" bottom="1" header="0.5" footer="0.5"/>
  <pageSetup paperSize="1" orientation="portrait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7"/>
  <sheetViews>
    <sheetView workbookViewId="0">
      <selection activeCell="B12" sqref="B12"/>
    </sheetView>
  </sheetViews>
  <sheetFormatPr defaultColWidth="9.14285714285714" defaultRowHeight="15" outlineLevelCol="1"/>
  <cols>
    <col min="1" max="1" width="18.7142857142857"/>
    <col min="2" max="2" width="19.8571428571429"/>
  </cols>
  <sheetData>
    <row r="3" spans="1:2">
      <c r="A3" t="s">
        <v>19</v>
      </c>
      <c r="B3" t="s">
        <v>34</v>
      </c>
    </row>
    <row r="4" spans="1:2">
      <c r="A4" t="s">
        <v>20</v>
      </c>
      <c r="B4">
        <v>1</v>
      </c>
    </row>
    <row r="5" spans="1:2">
      <c r="A5" t="s">
        <v>21</v>
      </c>
      <c r="B5">
        <v>8</v>
      </c>
    </row>
    <row r="6" spans="1:2">
      <c r="A6" t="s">
        <v>22</v>
      </c>
      <c r="B6">
        <v>3</v>
      </c>
    </row>
    <row r="7" spans="1:2">
      <c r="A7" t="s">
        <v>23</v>
      </c>
      <c r="B7">
        <v>5</v>
      </c>
    </row>
    <row r="8" spans="1:2">
      <c r="A8" t="s">
        <v>24</v>
      </c>
      <c r="B8">
        <v>11</v>
      </c>
    </row>
    <row r="9" spans="1:2">
      <c r="A9" t="s">
        <v>25</v>
      </c>
      <c r="B9">
        <v>4</v>
      </c>
    </row>
    <row r="10" spans="1:2">
      <c r="A10" t="s">
        <v>26</v>
      </c>
      <c r="B10">
        <v>8</v>
      </c>
    </row>
    <row r="11" spans="1:2">
      <c r="A11" t="s">
        <v>27</v>
      </c>
      <c r="B11">
        <v>1</v>
      </c>
    </row>
    <row r="12" spans="1:2">
      <c r="A12" t="s">
        <v>28</v>
      </c>
      <c r="B12">
        <v>1</v>
      </c>
    </row>
    <row r="13" spans="1:2">
      <c r="A13" t="s">
        <v>29</v>
      </c>
      <c r="B13">
        <v>5</v>
      </c>
    </row>
    <row r="14" spans="1:2">
      <c r="A14" t="s">
        <v>30</v>
      </c>
      <c r="B14">
        <v>1</v>
      </c>
    </row>
    <row r="15" spans="1:2">
      <c r="A15" t="s">
        <v>31</v>
      </c>
      <c r="B15">
        <v>1</v>
      </c>
    </row>
    <row r="16" spans="1:2">
      <c r="A16" t="s">
        <v>32</v>
      </c>
      <c r="B16">
        <v>4</v>
      </c>
    </row>
    <row r="17" spans="1:1">
      <c r="A17" t="s">
        <v>33</v>
      </c>
    </row>
  </sheetData>
  <pageMargins left="0.75" right="0.75" top="1" bottom="1" header="0.5" footer="0.5"/>
  <pageSetup paperSize="1" orientation="portrait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"/>
  <sheetViews>
    <sheetView topLeftCell="A3" workbookViewId="0">
      <selection activeCell="A21" sqref="A21"/>
    </sheetView>
  </sheetViews>
  <sheetFormatPr defaultColWidth="9.14285714285714" defaultRowHeight="15" outlineLevelRow="3" outlineLevelCol="2"/>
  <cols>
    <col min="1" max="3" width="29.7142857142857"/>
  </cols>
  <sheetData>
    <row r="3" spans="1:3">
      <c r="A3" t="s">
        <v>35</v>
      </c>
      <c r="B3" t="s">
        <v>36</v>
      </c>
      <c r="C3" t="s">
        <v>37</v>
      </c>
    </row>
    <row r="4" spans="1:3">
      <c r="A4">
        <v>88.7358490566038</v>
      </c>
      <c r="B4">
        <v>88.0377358490566</v>
      </c>
      <c r="C4">
        <v>88.5660377358491</v>
      </c>
    </row>
  </sheetData>
  <pageMargins left="0.75" right="0.75" top="1" bottom="1" header="0.5" footer="0.5"/>
  <pageSetup paperSize="1" orientation="portrait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18" sqref="B18"/>
    </sheetView>
  </sheetViews>
  <sheetFormatPr defaultColWidth="9.14285714285714" defaultRowHeight="15" outlineLevelRow="5" outlineLevelCol="1"/>
  <cols>
    <col min="1" max="1" width="22.5714285714286"/>
    <col min="2" max="2" width="19.8571428571429"/>
  </cols>
  <sheetData>
    <row r="3" spans="1:2">
      <c r="A3" t="s">
        <v>38</v>
      </c>
      <c r="B3" t="s">
        <v>34</v>
      </c>
    </row>
    <row r="4" spans="1:2">
      <c r="A4">
        <v>0</v>
      </c>
      <c r="B4">
        <v>34</v>
      </c>
    </row>
    <row r="5" spans="1:2">
      <c r="A5">
        <v>1</v>
      </c>
      <c r="B5">
        <v>19</v>
      </c>
    </row>
    <row r="6" spans="1:2">
      <c r="A6" t="s">
        <v>33</v>
      </c>
    </row>
  </sheetData>
  <pageMargins left="0.75" right="0.75" top="1" bottom="1" header="0.5" footer="0.5"/>
  <pageSetup paperSize="1" orientation="portrait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58"/>
  <sheetViews>
    <sheetView workbookViewId="0">
      <selection activeCell="I13" sqref="I13"/>
    </sheetView>
  </sheetViews>
  <sheetFormatPr defaultColWidth="9.14285714285714" defaultRowHeight="15"/>
  <cols>
    <col min="1" max="1" width="6.42857142857143" customWidth="1"/>
    <col min="2" max="2" width="15" customWidth="1"/>
    <col min="3" max="3" width="18" customWidth="1"/>
    <col min="4" max="4" width="18.7142857142857" customWidth="1"/>
    <col min="5" max="5" width="12.8571428571429"/>
    <col min="6" max="6" width="18.5714285714286" customWidth="1"/>
    <col min="7" max="7" width="12.8571428571429"/>
    <col min="8" max="8" width="11.7142857142857" customWidth="1"/>
    <col min="9" max="9" width="20.8571428571429" customWidth="1"/>
    <col min="10" max="11" width="24.5714285714286" customWidth="1"/>
  </cols>
  <sheetData>
    <row r="3" spans="2:11">
      <c r="B3" s="11" t="s">
        <v>7</v>
      </c>
      <c r="C3" s="11" t="s">
        <v>0</v>
      </c>
      <c r="D3" s="11" t="s">
        <v>19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38</v>
      </c>
      <c r="K3" s="11" t="s">
        <v>44</v>
      </c>
    </row>
    <row r="4" spans="2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2:11">
      <c r="B5" s="12" t="s">
        <v>9</v>
      </c>
      <c r="C5" s="12" t="s">
        <v>2</v>
      </c>
      <c r="D5" s="12" t="s">
        <v>21</v>
      </c>
      <c r="E5" s="12">
        <v>97</v>
      </c>
      <c r="F5" s="12">
        <v>98</v>
      </c>
      <c r="G5" s="12">
        <v>95</v>
      </c>
      <c r="H5" s="12">
        <f t="shared" ref="H5:H57" si="0">SUM(E5:G5)</f>
        <v>290</v>
      </c>
      <c r="I5" s="12">
        <f t="shared" ref="I5:I57" si="1">AVERAGE(E5:G5)</f>
        <v>96.6666666666667</v>
      </c>
      <c r="J5" s="12">
        <f>IF(I5&gt;=90,1,0)</f>
        <v>1</v>
      </c>
      <c r="K5" s="12">
        <f t="shared" ref="K5:K57" si="2">_xlfn.RANK.EQ(H5,$H$5:$H$59)</f>
        <v>2</v>
      </c>
    </row>
    <row r="6" spans="2:11">
      <c r="B6" s="12" t="s">
        <v>10</v>
      </c>
      <c r="C6" s="12" t="s">
        <v>6</v>
      </c>
      <c r="D6" s="12" t="s">
        <v>24</v>
      </c>
      <c r="E6" s="12">
        <v>94</v>
      </c>
      <c r="F6" s="12">
        <v>93</v>
      </c>
      <c r="G6" s="12">
        <v>99</v>
      </c>
      <c r="H6" s="12">
        <f t="shared" si="0"/>
        <v>286</v>
      </c>
      <c r="I6" s="12">
        <f t="shared" si="1"/>
        <v>95.3333333333333</v>
      </c>
      <c r="J6" s="12">
        <f t="shared" ref="J6:J37" si="3">IF(I6&gt;=90,1,0)</f>
        <v>1</v>
      </c>
      <c r="K6" s="12">
        <f t="shared" si="2"/>
        <v>6</v>
      </c>
    </row>
    <row r="7" spans="2:11">
      <c r="B7" s="12" t="s">
        <v>45</v>
      </c>
      <c r="C7" s="12" t="s">
        <v>46</v>
      </c>
      <c r="D7" s="12" t="s">
        <v>26</v>
      </c>
      <c r="E7" s="12">
        <v>91</v>
      </c>
      <c r="F7" s="12">
        <v>92</v>
      </c>
      <c r="G7" s="12">
        <v>89</v>
      </c>
      <c r="H7" s="12">
        <f t="shared" si="0"/>
        <v>272</v>
      </c>
      <c r="I7" s="12">
        <f t="shared" si="1"/>
        <v>90.6666666666667</v>
      </c>
      <c r="J7" s="12">
        <f t="shared" si="3"/>
        <v>1</v>
      </c>
      <c r="K7" s="12">
        <f t="shared" si="2"/>
        <v>19</v>
      </c>
    </row>
    <row r="8" spans="2:11">
      <c r="B8" s="12" t="s">
        <v>47</v>
      </c>
      <c r="C8" s="12" t="s">
        <v>48</v>
      </c>
      <c r="D8" s="12" t="s">
        <v>23</v>
      </c>
      <c r="E8" s="12">
        <v>92</v>
      </c>
      <c r="F8" s="12">
        <v>93</v>
      </c>
      <c r="G8" s="12">
        <v>88</v>
      </c>
      <c r="H8" s="12">
        <f t="shared" si="0"/>
        <v>273</v>
      </c>
      <c r="I8" s="12">
        <f t="shared" si="1"/>
        <v>91</v>
      </c>
      <c r="J8" s="12">
        <f t="shared" si="3"/>
        <v>1</v>
      </c>
      <c r="K8" s="12">
        <f t="shared" si="2"/>
        <v>16</v>
      </c>
    </row>
    <row r="9" spans="2:11">
      <c r="B9" s="12" t="s">
        <v>49</v>
      </c>
      <c r="C9" s="12" t="s">
        <v>50</v>
      </c>
      <c r="D9" s="12" t="s">
        <v>21</v>
      </c>
      <c r="E9" s="12">
        <v>82</v>
      </c>
      <c r="F9" s="12">
        <v>91</v>
      </c>
      <c r="G9" s="12">
        <v>90</v>
      </c>
      <c r="H9" s="12">
        <f t="shared" si="0"/>
        <v>263</v>
      </c>
      <c r="I9" s="12">
        <f t="shared" si="1"/>
        <v>87.6666666666667</v>
      </c>
      <c r="J9" s="12">
        <f t="shared" si="3"/>
        <v>0</v>
      </c>
      <c r="K9" s="12">
        <f t="shared" si="2"/>
        <v>36</v>
      </c>
    </row>
    <row r="10" spans="2:11">
      <c r="B10" s="12" t="s">
        <v>51</v>
      </c>
      <c r="C10" s="12" t="s">
        <v>52</v>
      </c>
      <c r="D10" s="12" t="s">
        <v>23</v>
      </c>
      <c r="E10" s="12">
        <v>88</v>
      </c>
      <c r="F10" s="12">
        <v>99</v>
      </c>
      <c r="G10" s="12">
        <v>91</v>
      </c>
      <c r="H10" s="12">
        <f t="shared" si="0"/>
        <v>278</v>
      </c>
      <c r="I10" s="12">
        <f t="shared" si="1"/>
        <v>92.6666666666667</v>
      </c>
      <c r="J10" s="12">
        <f t="shared" si="3"/>
        <v>1</v>
      </c>
      <c r="K10" s="12">
        <f t="shared" si="2"/>
        <v>12</v>
      </c>
    </row>
    <row r="11" spans="2:11">
      <c r="B11" s="12" t="s">
        <v>53</v>
      </c>
      <c r="C11" s="12" t="s">
        <v>54</v>
      </c>
      <c r="D11" s="12" t="s">
        <v>23</v>
      </c>
      <c r="E11" s="12">
        <v>89</v>
      </c>
      <c r="F11" s="12">
        <v>90</v>
      </c>
      <c r="G11" s="12">
        <v>97</v>
      </c>
      <c r="H11" s="12">
        <f t="shared" si="0"/>
        <v>276</v>
      </c>
      <c r="I11" s="12">
        <f t="shared" si="1"/>
        <v>92</v>
      </c>
      <c r="J11" s="12">
        <f t="shared" si="3"/>
        <v>1</v>
      </c>
      <c r="K11" s="12">
        <f t="shared" si="2"/>
        <v>15</v>
      </c>
    </row>
    <row r="12" spans="2:11">
      <c r="B12" s="12" t="s">
        <v>55</v>
      </c>
      <c r="C12" s="12" t="s">
        <v>56</v>
      </c>
      <c r="D12" s="12" t="s">
        <v>22</v>
      </c>
      <c r="E12" s="12">
        <v>88</v>
      </c>
      <c r="F12" s="12">
        <v>89</v>
      </c>
      <c r="G12" s="12">
        <v>92</v>
      </c>
      <c r="H12" s="12">
        <f t="shared" si="0"/>
        <v>269</v>
      </c>
      <c r="I12" s="12">
        <f t="shared" si="1"/>
        <v>89.6666666666667</v>
      </c>
      <c r="J12" s="12">
        <f t="shared" si="3"/>
        <v>0</v>
      </c>
      <c r="K12" s="12">
        <f t="shared" si="2"/>
        <v>21</v>
      </c>
    </row>
    <row r="13" spans="2:11">
      <c r="B13" s="12" t="s">
        <v>57</v>
      </c>
      <c r="C13" s="12" t="s">
        <v>58</v>
      </c>
      <c r="D13" s="12" t="s">
        <v>22</v>
      </c>
      <c r="E13" s="12">
        <v>87</v>
      </c>
      <c r="F13" s="12">
        <v>88</v>
      </c>
      <c r="G13" s="12">
        <v>83</v>
      </c>
      <c r="H13" s="12">
        <f t="shared" si="0"/>
        <v>258</v>
      </c>
      <c r="I13" s="12">
        <f t="shared" si="1"/>
        <v>86</v>
      </c>
      <c r="J13" s="12">
        <f t="shared" si="3"/>
        <v>0</v>
      </c>
      <c r="K13" s="12">
        <f t="shared" si="2"/>
        <v>42</v>
      </c>
    </row>
    <row r="14" spans="2:11">
      <c r="B14" s="12" t="s">
        <v>59</v>
      </c>
      <c r="C14" s="12" t="s">
        <v>60</v>
      </c>
      <c r="D14" s="12" t="s">
        <v>22</v>
      </c>
      <c r="E14" s="12">
        <v>90</v>
      </c>
      <c r="F14" s="12">
        <v>98</v>
      </c>
      <c r="G14" s="12">
        <v>80</v>
      </c>
      <c r="H14" s="12">
        <f t="shared" si="0"/>
        <v>268</v>
      </c>
      <c r="I14" s="12">
        <f t="shared" si="1"/>
        <v>89.3333333333333</v>
      </c>
      <c r="J14" s="12">
        <f t="shared" si="3"/>
        <v>0</v>
      </c>
      <c r="K14" s="12">
        <f t="shared" si="2"/>
        <v>24</v>
      </c>
    </row>
    <row r="15" spans="2:11">
      <c r="B15" s="12" t="s">
        <v>61</v>
      </c>
      <c r="C15" s="12" t="s">
        <v>62</v>
      </c>
      <c r="D15" s="12" t="s">
        <v>25</v>
      </c>
      <c r="E15" s="12">
        <v>79</v>
      </c>
      <c r="F15" s="12">
        <v>90</v>
      </c>
      <c r="G15" s="12">
        <v>99</v>
      </c>
      <c r="H15" s="12">
        <f t="shared" si="0"/>
        <v>268</v>
      </c>
      <c r="I15" s="12">
        <f t="shared" si="1"/>
        <v>89.3333333333333</v>
      </c>
      <c r="J15" s="12">
        <f t="shared" si="3"/>
        <v>0</v>
      </c>
      <c r="K15" s="12">
        <f t="shared" si="2"/>
        <v>24</v>
      </c>
    </row>
    <row r="16" spans="2:11">
      <c r="B16" s="12" t="s">
        <v>63</v>
      </c>
      <c r="C16" s="12" t="s">
        <v>64</v>
      </c>
      <c r="D16" s="12" t="s">
        <v>21</v>
      </c>
      <c r="E16" s="12">
        <v>99</v>
      </c>
      <c r="F16" s="12">
        <v>77</v>
      </c>
      <c r="G16" s="12">
        <v>90</v>
      </c>
      <c r="H16" s="12">
        <f t="shared" si="0"/>
        <v>266</v>
      </c>
      <c r="I16" s="12">
        <f t="shared" si="1"/>
        <v>88.6666666666667</v>
      </c>
      <c r="J16" s="12">
        <f t="shared" si="3"/>
        <v>0</v>
      </c>
      <c r="K16" s="12">
        <f t="shared" si="2"/>
        <v>28</v>
      </c>
    </row>
    <row r="17" spans="2:11">
      <c r="B17" s="12" t="s">
        <v>65</v>
      </c>
      <c r="C17" s="12" t="s">
        <v>66</v>
      </c>
      <c r="D17" s="12" t="s">
        <v>23</v>
      </c>
      <c r="E17" s="12">
        <v>91</v>
      </c>
      <c r="F17" s="12">
        <v>87</v>
      </c>
      <c r="G17" s="12">
        <v>81</v>
      </c>
      <c r="H17" s="12">
        <f t="shared" si="0"/>
        <v>259</v>
      </c>
      <c r="I17" s="12">
        <f t="shared" si="1"/>
        <v>86.3333333333333</v>
      </c>
      <c r="J17" s="12">
        <f t="shared" si="3"/>
        <v>0</v>
      </c>
      <c r="K17" s="12">
        <f t="shared" si="2"/>
        <v>41</v>
      </c>
    </row>
    <row r="18" spans="2:11">
      <c r="B18" s="12" t="s">
        <v>67</v>
      </c>
      <c r="C18" s="12" t="s">
        <v>68</v>
      </c>
      <c r="D18" s="12" t="s">
        <v>21</v>
      </c>
      <c r="E18" s="12">
        <v>88</v>
      </c>
      <c r="F18" s="12">
        <v>80</v>
      </c>
      <c r="G18" s="12">
        <v>90</v>
      </c>
      <c r="H18" s="12">
        <f t="shared" si="0"/>
        <v>258</v>
      </c>
      <c r="I18" s="12">
        <f t="shared" si="1"/>
        <v>86</v>
      </c>
      <c r="J18" s="12">
        <f t="shared" si="3"/>
        <v>0</v>
      </c>
      <c r="K18" s="12">
        <f t="shared" si="2"/>
        <v>42</v>
      </c>
    </row>
    <row r="19" spans="2:11">
      <c r="B19" s="12" t="s">
        <v>69</v>
      </c>
      <c r="C19" s="12" t="s">
        <v>70</v>
      </c>
      <c r="D19" s="12" t="s">
        <v>21</v>
      </c>
      <c r="E19" s="12">
        <v>85</v>
      </c>
      <c r="F19" s="12">
        <v>89</v>
      </c>
      <c r="G19" s="12">
        <v>95</v>
      </c>
      <c r="H19" s="12">
        <f t="shared" si="0"/>
        <v>269</v>
      </c>
      <c r="I19" s="12">
        <f t="shared" si="1"/>
        <v>89.6666666666667</v>
      </c>
      <c r="J19" s="12">
        <f t="shared" si="3"/>
        <v>0</v>
      </c>
      <c r="K19" s="12">
        <f t="shared" si="2"/>
        <v>21</v>
      </c>
    </row>
    <row r="20" spans="2:11">
      <c r="B20" s="12" t="s">
        <v>71</v>
      </c>
      <c r="C20" s="12" t="s">
        <v>72</v>
      </c>
      <c r="D20" s="12" t="s">
        <v>21</v>
      </c>
      <c r="E20" s="12">
        <v>87</v>
      </c>
      <c r="F20" s="12">
        <v>99</v>
      </c>
      <c r="G20" s="12">
        <v>87</v>
      </c>
      <c r="H20" s="12">
        <f t="shared" si="0"/>
        <v>273</v>
      </c>
      <c r="I20" s="12">
        <f t="shared" si="1"/>
        <v>91</v>
      </c>
      <c r="J20" s="12">
        <f t="shared" si="3"/>
        <v>1</v>
      </c>
      <c r="K20" s="12">
        <f t="shared" si="2"/>
        <v>16</v>
      </c>
    </row>
    <row r="21" spans="2:11">
      <c r="B21" s="12" t="s">
        <v>11</v>
      </c>
      <c r="C21" s="12" t="s">
        <v>73</v>
      </c>
      <c r="D21" s="12" t="s">
        <v>23</v>
      </c>
      <c r="E21" s="12">
        <v>89</v>
      </c>
      <c r="F21" s="12">
        <v>94</v>
      </c>
      <c r="G21" s="12">
        <v>96</v>
      </c>
      <c r="H21" s="12">
        <f t="shared" si="0"/>
        <v>279</v>
      </c>
      <c r="I21" s="12">
        <f t="shared" si="1"/>
        <v>93</v>
      </c>
      <c r="J21" s="12">
        <f t="shared" si="3"/>
        <v>1</v>
      </c>
      <c r="K21" s="12">
        <f t="shared" si="2"/>
        <v>10</v>
      </c>
    </row>
    <row r="22" spans="2:11">
      <c r="B22" s="12" t="s">
        <v>74</v>
      </c>
      <c r="C22" s="12" t="s">
        <v>75</v>
      </c>
      <c r="D22" s="12" t="s">
        <v>24</v>
      </c>
      <c r="E22" s="12">
        <v>95</v>
      </c>
      <c r="F22" s="12">
        <v>95</v>
      </c>
      <c r="G22" s="12">
        <v>88</v>
      </c>
      <c r="H22" s="12">
        <f t="shared" si="0"/>
        <v>278</v>
      </c>
      <c r="I22" s="12">
        <f t="shared" si="1"/>
        <v>92.6666666666667</v>
      </c>
      <c r="J22" s="12">
        <f t="shared" si="3"/>
        <v>1</v>
      </c>
      <c r="K22" s="12">
        <f t="shared" si="2"/>
        <v>12</v>
      </c>
    </row>
    <row r="23" spans="2:11">
      <c r="B23" s="12" t="s">
        <v>76</v>
      </c>
      <c r="C23" s="12" t="s">
        <v>77</v>
      </c>
      <c r="D23" s="12" t="s">
        <v>20</v>
      </c>
      <c r="E23" s="12">
        <v>93</v>
      </c>
      <c r="F23" s="12">
        <v>93</v>
      </c>
      <c r="G23" s="12">
        <v>84</v>
      </c>
      <c r="H23" s="12">
        <f t="shared" si="0"/>
        <v>270</v>
      </c>
      <c r="I23" s="12">
        <f t="shared" si="1"/>
        <v>90</v>
      </c>
      <c r="J23" s="12">
        <f t="shared" si="3"/>
        <v>1</v>
      </c>
      <c r="K23" s="12">
        <f t="shared" si="2"/>
        <v>20</v>
      </c>
    </row>
    <row r="24" spans="2:11">
      <c r="B24" s="12" t="s">
        <v>12</v>
      </c>
      <c r="C24" s="12" t="s">
        <v>78</v>
      </c>
      <c r="D24" s="12" t="s">
        <v>27</v>
      </c>
      <c r="E24" s="12">
        <v>99</v>
      </c>
      <c r="F24" s="12">
        <v>95</v>
      </c>
      <c r="G24" s="12">
        <v>90</v>
      </c>
      <c r="H24" s="12">
        <f t="shared" si="0"/>
        <v>284</v>
      </c>
      <c r="I24" s="12">
        <f t="shared" si="1"/>
        <v>94.6666666666667</v>
      </c>
      <c r="J24" s="12">
        <f t="shared" si="3"/>
        <v>1</v>
      </c>
      <c r="K24" s="12">
        <f t="shared" si="2"/>
        <v>7</v>
      </c>
    </row>
    <row r="25" spans="2:11">
      <c r="B25" s="12" t="s">
        <v>79</v>
      </c>
      <c r="C25" s="12" t="s">
        <v>80</v>
      </c>
      <c r="D25" s="12" t="s">
        <v>28</v>
      </c>
      <c r="E25" s="12">
        <v>95</v>
      </c>
      <c r="F25" s="12">
        <v>89</v>
      </c>
      <c r="G25" s="12">
        <v>77</v>
      </c>
      <c r="H25" s="12">
        <f t="shared" si="0"/>
        <v>261</v>
      </c>
      <c r="I25" s="12">
        <f t="shared" si="1"/>
        <v>87</v>
      </c>
      <c r="J25" s="12">
        <f t="shared" si="3"/>
        <v>0</v>
      </c>
      <c r="K25" s="12">
        <f t="shared" si="2"/>
        <v>38</v>
      </c>
    </row>
    <row r="26" spans="2:11">
      <c r="B26" s="12" t="s">
        <v>13</v>
      </c>
      <c r="C26" s="12" t="s">
        <v>81</v>
      </c>
      <c r="D26" s="12" t="s">
        <v>24</v>
      </c>
      <c r="E26" s="12">
        <v>85</v>
      </c>
      <c r="F26" s="12">
        <v>99</v>
      </c>
      <c r="G26" s="12">
        <v>95</v>
      </c>
      <c r="H26" s="12">
        <f t="shared" si="0"/>
        <v>279</v>
      </c>
      <c r="I26" s="12">
        <f t="shared" si="1"/>
        <v>93</v>
      </c>
      <c r="J26" s="12">
        <f t="shared" si="3"/>
        <v>1</v>
      </c>
      <c r="K26" s="12">
        <f t="shared" si="2"/>
        <v>10</v>
      </c>
    </row>
    <row r="27" spans="2:11">
      <c r="B27" s="12" t="s">
        <v>82</v>
      </c>
      <c r="C27" s="12" t="s">
        <v>83</v>
      </c>
      <c r="D27" s="12" t="s">
        <v>21</v>
      </c>
      <c r="E27" s="12">
        <v>88</v>
      </c>
      <c r="F27" s="12">
        <v>68</v>
      </c>
      <c r="G27" s="12">
        <v>87</v>
      </c>
      <c r="H27" s="12">
        <f t="shared" si="0"/>
        <v>243</v>
      </c>
      <c r="I27" s="12">
        <f t="shared" si="1"/>
        <v>81</v>
      </c>
      <c r="J27" s="12">
        <f t="shared" si="3"/>
        <v>0</v>
      </c>
      <c r="K27" s="12">
        <f t="shared" si="2"/>
        <v>50</v>
      </c>
    </row>
    <row r="28" spans="2:11">
      <c r="B28" s="12" t="s">
        <v>84</v>
      </c>
      <c r="C28" s="12" t="s">
        <v>85</v>
      </c>
      <c r="D28" s="12" t="s">
        <v>24</v>
      </c>
      <c r="E28" s="12">
        <v>86</v>
      </c>
      <c r="F28" s="12">
        <v>90</v>
      </c>
      <c r="G28" s="12">
        <v>90</v>
      </c>
      <c r="H28" s="12">
        <f t="shared" si="0"/>
        <v>266</v>
      </c>
      <c r="I28" s="12">
        <f t="shared" si="1"/>
        <v>88.6666666666667</v>
      </c>
      <c r="J28" s="12">
        <f t="shared" si="3"/>
        <v>0</v>
      </c>
      <c r="K28" s="12">
        <f t="shared" si="2"/>
        <v>28</v>
      </c>
    </row>
    <row r="29" spans="2:11">
      <c r="B29" s="12" t="s">
        <v>86</v>
      </c>
      <c r="C29" s="12" t="s">
        <v>87</v>
      </c>
      <c r="D29" s="12" t="s">
        <v>24</v>
      </c>
      <c r="E29" s="12">
        <v>83</v>
      </c>
      <c r="F29" s="12">
        <v>98</v>
      </c>
      <c r="G29" s="12">
        <v>88</v>
      </c>
      <c r="H29" s="12">
        <f t="shared" si="0"/>
        <v>269</v>
      </c>
      <c r="I29" s="12">
        <f t="shared" si="1"/>
        <v>89.6666666666667</v>
      </c>
      <c r="J29" s="12">
        <f t="shared" si="3"/>
        <v>0</v>
      </c>
      <c r="K29" s="12">
        <f t="shared" si="2"/>
        <v>21</v>
      </c>
    </row>
    <row r="30" spans="2:11">
      <c r="B30" s="12" t="s">
        <v>14</v>
      </c>
      <c r="C30" s="12" t="s">
        <v>88</v>
      </c>
      <c r="D30" s="12" t="s">
        <v>31</v>
      </c>
      <c r="E30" s="12">
        <v>95</v>
      </c>
      <c r="F30" s="12">
        <v>87</v>
      </c>
      <c r="G30" s="12">
        <v>98</v>
      </c>
      <c r="H30" s="12">
        <f t="shared" si="0"/>
        <v>280</v>
      </c>
      <c r="I30" s="12">
        <f t="shared" si="1"/>
        <v>93.3333333333333</v>
      </c>
      <c r="J30" s="12">
        <f t="shared" si="3"/>
        <v>1</v>
      </c>
      <c r="K30" s="12">
        <f t="shared" si="2"/>
        <v>8</v>
      </c>
    </row>
    <row r="31" spans="2:11">
      <c r="B31" s="12" t="s">
        <v>15</v>
      </c>
      <c r="C31" s="12" t="s">
        <v>3</v>
      </c>
      <c r="D31" s="12" t="s">
        <v>32</v>
      </c>
      <c r="E31" s="12">
        <v>90</v>
      </c>
      <c r="F31" s="12">
        <v>98</v>
      </c>
      <c r="G31" s="12">
        <v>99</v>
      </c>
      <c r="H31" s="12">
        <f t="shared" si="0"/>
        <v>287</v>
      </c>
      <c r="I31" s="12">
        <f t="shared" si="1"/>
        <v>95.6666666666667</v>
      </c>
      <c r="J31" s="12">
        <f t="shared" si="3"/>
        <v>1</v>
      </c>
      <c r="K31" s="12">
        <f t="shared" si="2"/>
        <v>4</v>
      </c>
    </row>
    <row r="32" spans="2:11">
      <c r="B32" s="12" t="s">
        <v>89</v>
      </c>
      <c r="C32" s="12" t="s">
        <v>90</v>
      </c>
      <c r="D32" s="12" t="s">
        <v>32</v>
      </c>
      <c r="E32" s="12">
        <v>80</v>
      </c>
      <c r="F32" s="12">
        <v>89</v>
      </c>
      <c r="G32" s="12">
        <v>92</v>
      </c>
      <c r="H32" s="12">
        <f t="shared" si="0"/>
        <v>261</v>
      </c>
      <c r="I32" s="12">
        <f t="shared" si="1"/>
        <v>87</v>
      </c>
      <c r="J32" s="12">
        <f t="shared" si="3"/>
        <v>0</v>
      </c>
      <c r="K32" s="12">
        <f t="shared" si="2"/>
        <v>38</v>
      </c>
    </row>
    <row r="33" spans="2:11">
      <c r="B33" s="12" t="s">
        <v>91</v>
      </c>
      <c r="C33" s="12" t="s">
        <v>92</v>
      </c>
      <c r="D33" s="12" t="s">
        <v>32</v>
      </c>
      <c r="E33" s="12">
        <v>87</v>
      </c>
      <c r="F33" s="12">
        <v>68</v>
      </c>
      <c r="G33" s="12">
        <v>83</v>
      </c>
      <c r="H33" s="12">
        <f t="shared" si="0"/>
        <v>238</v>
      </c>
      <c r="I33" s="12">
        <f t="shared" si="1"/>
        <v>79.3333333333333</v>
      </c>
      <c r="J33" s="12">
        <f t="shared" si="3"/>
        <v>0</v>
      </c>
      <c r="K33" s="12">
        <f t="shared" si="2"/>
        <v>51</v>
      </c>
    </row>
    <row r="34" spans="2:11">
      <c r="B34" s="12" t="s">
        <v>93</v>
      </c>
      <c r="C34" s="12" t="s">
        <v>94</v>
      </c>
      <c r="D34" s="12" t="s">
        <v>24</v>
      </c>
      <c r="E34" s="12">
        <v>78</v>
      </c>
      <c r="F34" s="12">
        <v>86</v>
      </c>
      <c r="G34" s="12">
        <v>84</v>
      </c>
      <c r="H34" s="12">
        <f t="shared" si="0"/>
        <v>248</v>
      </c>
      <c r="I34" s="12">
        <f t="shared" si="1"/>
        <v>82.6666666666667</v>
      </c>
      <c r="J34" s="12">
        <f t="shared" si="3"/>
        <v>0</v>
      </c>
      <c r="K34" s="12">
        <f t="shared" si="2"/>
        <v>46</v>
      </c>
    </row>
    <row r="35" spans="2:11">
      <c r="B35" s="12" t="s">
        <v>95</v>
      </c>
      <c r="C35" s="12" t="s">
        <v>96</v>
      </c>
      <c r="D35" s="12" t="s">
        <v>24</v>
      </c>
      <c r="E35" s="12">
        <v>90</v>
      </c>
      <c r="F35" s="12">
        <v>77</v>
      </c>
      <c r="G35" s="12">
        <v>95</v>
      </c>
      <c r="H35" s="12">
        <f t="shared" si="0"/>
        <v>262</v>
      </c>
      <c r="I35" s="12">
        <f t="shared" si="1"/>
        <v>87.3333333333333</v>
      </c>
      <c r="J35" s="12">
        <f t="shared" si="3"/>
        <v>0</v>
      </c>
      <c r="K35" s="12">
        <f t="shared" si="2"/>
        <v>37</v>
      </c>
    </row>
    <row r="36" spans="2:11">
      <c r="B36" s="12" t="s">
        <v>97</v>
      </c>
      <c r="C36" s="12" t="s">
        <v>98</v>
      </c>
      <c r="D36" s="12" t="s">
        <v>32</v>
      </c>
      <c r="E36" s="12">
        <v>87</v>
      </c>
      <c r="F36" s="12">
        <v>74</v>
      </c>
      <c r="G36" s="12">
        <v>68</v>
      </c>
      <c r="H36" s="12">
        <f t="shared" si="0"/>
        <v>229</v>
      </c>
      <c r="I36" s="12">
        <f t="shared" si="1"/>
        <v>76.3333333333333</v>
      </c>
      <c r="J36" s="12">
        <f t="shared" si="3"/>
        <v>0</v>
      </c>
      <c r="K36" s="12">
        <f t="shared" si="2"/>
        <v>53</v>
      </c>
    </row>
    <row r="37" spans="2:11">
      <c r="B37" s="12" t="s">
        <v>99</v>
      </c>
      <c r="C37" s="12" t="s">
        <v>100</v>
      </c>
      <c r="D37" s="12" t="s">
        <v>24</v>
      </c>
      <c r="E37" s="12">
        <v>86</v>
      </c>
      <c r="F37" s="12">
        <v>73</v>
      </c>
      <c r="G37" s="12">
        <v>88</v>
      </c>
      <c r="H37" s="12">
        <f t="shared" si="0"/>
        <v>247</v>
      </c>
      <c r="I37" s="12">
        <f t="shared" si="1"/>
        <v>82.3333333333333</v>
      </c>
      <c r="J37" s="12">
        <f t="shared" si="3"/>
        <v>0</v>
      </c>
      <c r="K37" s="12">
        <f t="shared" si="2"/>
        <v>47</v>
      </c>
    </row>
    <row r="38" spans="2:11">
      <c r="B38" s="12" t="s">
        <v>101</v>
      </c>
      <c r="C38" s="12" t="s">
        <v>102</v>
      </c>
      <c r="D38" s="12" t="s">
        <v>25</v>
      </c>
      <c r="E38" s="12">
        <v>95</v>
      </c>
      <c r="F38" s="12">
        <v>83</v>
      </c>
      <c r="G38" s="12">
        <v>78</v>
      </c>
      <c r="H38" s="12">
        <f t="shared" si="0"/>
        <v>256</v>
      </c>
      <c r="I38" s="12">
        <f t="shared" si="1"/>
        <v>85.3333333333333</v>
      </c>
      <c r="J38" s="12">
        <f t="shared" ref="J38:J58" si="4">IF(I38&gt;=90,1,0)</f>
        <v>0</v>
      </c>
      <c r="K38" s="12">
        <f t="shared" si="2"/>
        <v>44</v>
      </c>
    </row>
    <row r="39" spans="2:11">
      <c r="B39" s="12" t="s">
        <v>16</v>
      </c>
      <c r="C39" s="12" t="s">
        <v>4</v>
      </c>
      <c r="D39" s="12" t="s">
        <v>25</v>
      </c>
      <c r="E39" s="12">
        <v>93</v>
      </c>
      <c r="F39" s="12">
        <v>98</v>
      </c>
      <c r="G39" s="12">
        <v>98</v>
      </c>
      <c r="H39" s="12">
        <f t="shared" si="0"/>
        <v>289</v>
      </c>
      <c r="I39" s="12">
        <f t="shared" si="1"/>
        <v>96.3333333333333</v>
      </c>
      <c r="J39" s="12">
        <f t="shared" si="4"/>
        <v>1</v>
      </c>
      <c r="K39" s="12">
        <f t="shared" si="2"/>
        <v>3</v>
      </c>
    </row>
    <row r="40" spans="2:11">
      <c r="B40" s="12" t="s">
        <v>17</v>
      </c>
      <c r="C40" s="12" t="s">
        <v>103</v>
      </c>
      <c r="D40" s="12" t="s">
        <v>25</v>
      </c>
      <c r="E40" s="12">
        <v>94</v>
      </c>
      <c r="F40" s="12">
        <v>89</v>
      </c>
      <c r="G40" s="12">
        <v>97</v>
      </c>
      <c r="H40" s="12">
        <f t="shared" si="0"/>
        <v>280</v>
      </c>
      <c r="I40" s="12">
        <f t="shared" si="1"/>
        <v>93.3333333333333</v>
      </c>
      <c r="J40" s="12">
        <f t="shared" si="4"/>
        <v>1</v>
      </c>
      <c r="K40" s="12">
        <f t="shared" si="2"/>
        <v>8</v>
      </c>
    </row>
    <row r="41" spans="2:11">
      <c r="B41" s="12" t="s">
        <v>104</v>
      </c>
      <c r="C41" s="12" t="s">
        <v>105</v>
      </c>
      <c r="D41" s="12" t="s">
        <v>24</v>
      </c>
      <c r="E41" s="12">
        <v>87</v>
      </c>
      <c r="F41" s="12">
        <v>88</v>
      </c>
      <c r="G41" s="12">
        <v>80</v>
      </c>
      <c r="H41" s="12">
        <f t="shared" si="0"/>
        <v>255</v>
      </c>
      <c r="I41" s="12">
        <f t="shared" si="1"/>
        <v>85</v>
      </c>
      <c r="J41" s="12">
        <f t="shared" si="4"/>
        <v>0</v>
      </c>
      <c r="K41" s="12">
        <f t="shared" si="2"/>
        <v>45</v>
      </c>
    </row>
    <row r="42" spans="2:11">
      <c r="B42" s="12" t="s">
        <v>106</v>
      </c>
      <c r="C42" s="12" t="s">
        <v>107</v>
      </c>
      <c r="D42" s="12" t="s">
        <v>29</v>
      </c>
      <c r="E42" s="12">
        <v>88</v>
      </c>
      <c r="F42" s="12">
        <v>77</v>
      </c>
      <c r="G42" s="12">
        <v>70</v>
      </c>
      <c r="H42" s="12">
        <f t="shared" si="0"/>
        <v>235</v>
      </c>
      <c r="I42" s="12">
        <f t="shared" si="1"/>
        <v>78.3333333333333</v>
      </c>
      <c r="J42" s="12">
        <f t="shared" si="4"/>
        <v>0</v>
      </c>
      <c r="K42" s="12">
        <f t="shared" si="2"/>
        <v>52</v>
      </c>
    </row>
    <row r="43" spans="2:11">
      <c r="B43" s="12" t="s">
        <v>108</v>
      </c>
      <c r="C43" s="12" t="s">
        <v>109</v>
      </c>
      <c r="D43" s="12" t="s">
        <v>26</v>
      </c>
      <c r="E43" s="12">
        <v>98</v>
      </c>
      <c r="F43" s="12">
        <v>90</v>
      </c>
      <c r="G43" s="12">
        <v>77</v>
      </c>
      <c r="H43" s="12">
        <f t="shared" si="0"/>
        <v>265</v>
      </c>
      <c r="I43" s="12">
        <f t="shared" si="1"/>
        <v>88.3333333333333</v>
      </c>
      <c r="J43" s="12">
        <f t="shared" si="4"/>
        <v>0</v>
      </c>
      <c r="K43" s="12">
        <f t="shared" si="2"/>
        <v>30</v>
      </c>
    </row>
    <row r="44" spans="2:11">
      <c r="B44" s="12" t="s">
        <v>110</v>
      </c>
      <c r="C44" s="12" t="s">
        <v>111</v>
      </c>
      <c r="D44" s="12" t="s">
        <v>26</v>
      </c>
      <c r="E44" s="12">
        <v>88</v>
      </c>
      <c r="F44" s="12">
        <v>89</v>
      </c>
      <c r="G44" s="12">
        <v>87</v>
      </c>
      <c r="H44" s="12">
        <f t="shared" si="0"/>
        <v>264</v>
      </c>
      <c r="I44" s="12">
        <f t="shared" si="1"/>
        <v>88</v>
      </c>
      <c r="J44" s="12">
        <f t="shared" si="4"/>
        <v>0</v>
      </c>
      <c r="K44" s="12">
        <f t="shared" si="2"/>
        <v>33</v>
      </c>
    </row>
    <row r="45" spans="2:11">
      <c r="B45" s="12" t="s">
        <v>112</v>
      </c>
      <c r="C45" s="12" t="s">
        <v>113</v>
      </c>
      <c r="D45" s="12" t="s">
        <v>26</v>
      </c>
      <c r="E45" s="12">
        <v>90</v>
      </c>
      <c r="F45" s="12">
        <v>98</v>
      </c>
      <c r="G45" s="12">
        <v>80</v>
      </c>
      <c r="H45" s="12">
        <f t="shared" si="0"/>
        <v>268</v>
      </c>
      <c r="I45" s="12">
        <f t="shared" si="1"/>
        <v>89.3333333333333</v>
      </c>
      <c r="J45" s="12">
        <f t="shared" si="4"/>
        <v>0</v>
      </c>
      <c r="K45" s="12">
        <f t="shared" si="2"/>
        <v>24</v>
      </c>
    </row>
    <row r="46" spans="2:11">
      <c r="B46" s="12" t="s">
        <v>114</v>
      </c>
      <c r="C46" s="12" t="s">
        <v>115</v>
      </c>
      <c r="D46" s="12" t="s">
        <v>26</v>
      </c>
      <c r="E46" s="12">
        <v>81</v>
      </c>
      <c r="F46" s="12">
        <v>68</v>
      </c>
      <c r="G46" s="12">
        <v>98</v>
      </c>
      <c r="H46" s="12">
        <f t="shared" si="0"/>
        <v>247</v>
      </c>
      <c r="I46" s="12">
        <f t="shared" si="1"/>
        <v>82.3333333333333</v>
      </c>
      <c r="J46" s="12">
        <f t="shared" si="4"/>
        <v>0</v>
      </c>
      <c r="K46" s="12">
        <f t="shared" si="2"/>
        <v>47</v>
      </c>
    </row>
    <row r="47" spans="2:11">
      <c r="B47" s="12" t="s">
        <v>116</v>
      </c>
      <c r="C47" s="12" t="s">
        <v>117</v>
      </c>
      <c r="D47" s="12" t="s">
        <v>29</v>
      </c>
      <c r="E47" s="12">
        <v>98</v>
      </c>
      <c r="F47" s="12">
        <v>69</v>
      </c>
      <c r="G47" s="12">
        <v>98</v>
      </c>
      <c r="H47" s="12">
        <f t="shared" si="0"/>
        <v>265</v>
      </c>
      <c r="I47" s="12">
        <f t="shared" si="1"/>
        <v>88.3333333333333</v>
      </c>
      <c r="J47" s="12">
        <f t="shared" si="4"/>
        <v>0</v>
      </c>
      <c r="K47" s="12">
        <f t="shared" si="2"/>
        <v>30</v>
      </c>
    </row>
    <row r="48" spans="2:11">
      <c r="B48" s="12" t="s">
        <v>118</v>
      </c>
      <c r="C48" s="12" t="s">
        <v>119</v>
      </c>
      <c r="D48" s="12" t="s">
        <v>24</v>
      </c>
      <c r="E48" s="12">
        <v>88</v>
      </c>
      <c r="F48" s="12">
        <v>80</v>
      </c>
      <c r="G48" s="12">
        <v>79</v>
      </c>
      <c r="H48" s="12">
        <f t="shared" si="0"/>
        <v>247</v>
      </c>
      <c r="I48" s="12">
        <f t="shared" si="1"/>
        <v>82.3333333333333</v>
      </c>
      <c r="J48" s="12">
        <f t="shared" si="4"/>
        <v>0</v>
      </c>
      <c r="K48" s="12">
        <f t="shared" si="2"/>
        <v>47</v>
      </c>
    </row>
    <row r="49" spans="2:11">
      <c r="B49" s="12" t="s">
        <v>120</v>
      </c>
      <c r="C49" s="12" t="s">
        <v>121</v>
      </c>
      <c r="D49" s="12" t="s">
        <v>30</v>
      </c>
      <c r="E49" s="12">
        <v>74</v>
      </c>
      <c r="F49" s="12">
        <v>78</v>
      </c>
      <c r="G49" s="12">
        <v>75</v>
      </c>
      <c r="H49" s="12">
        <f t="shared" si="0"/>
        <v>227</v>
      </c>
      <c r="I49" s="12">
        <f t="shared" si="1"/>
        <v>75.6666666666667</v>
      </c>
      <c r="J49" s="12">
        <f t="shared" si="4"/>
        <v>0</v>
      </c>
      <c r="K49" s="12">
        <f t="shared" si="2"/>
        <v>54</v>
      </c>
    </row>
    <row r="50" spans="2:11">
      <c r="B50" s="12" t="s">
        <v>122</v>
      </c>
      <c r="C50" s="12" t="s">
        <v>123</v>
      </c>
      <c r="D50" s="12" t="s">
        <v>29</v>
      </c>
      <c r="E50" s="12">
        <v>87</v>
      </c>
      <c r="F50" s="12">
        <v>98</v>
      </c>
      <c r="G50" s="12">
        <v>88</v>
      </c>
      <c r="H50" s="12">
        <f t="shared" si="0"/>
        <v>273</v>
      </c>
      <c r="I50" s="12">
        <f t="shared" si="1"/>
        <v>91</v>
      </c>
      <c r="J50" s="12">
        <f t="shared" si="4"/>
        <v>1</v>
      </c>
      <c r="K50" s="12">
        <f t="shared" si="2"/>
        <v>16</v>
      </c>
    </row>
    <row r="51" spans="2:11">
      <c r="B51" s="12" t="s">
        <v>124</v>
      </c>
      <c r="C51" s="12" t="s">
        <v>125</v>
      </c>
      <c r="D51" s="12" t="s">
        <v>24</v>
      </c>
      <c r="E51" s="12">
        <v>98</v>
      </c>
      <c r="F51" s="12">
        <v>89</v>
      </c>
      <c r="G51" s="12">
        <v>78</v>
      </c>
      <c r="H51" s="12">
        <f t="shared" si="0"/>
        <v>265</v>
      </c>
      <c r="I51" s="12">
        <f t="shared" si="1"/>
        <v>88.3333333333333</v>
      </c>
      <c r="J51" s="12">
        <f t="shared" si="4"/>
        <v>0</v>
      </c>
      <c r="K51" s="12">
        <f t="shared" si="2"/>
        <v>30</v>
      </c>
    </row>
    <row r="52" spans="2:11">
      <c r="B52" s="12" t="s">
        <v>18</v>
      </c>
      <c r="C52" s="12" t="s">
        <v>5</v>
      </c>
      <c r="D52" s="12" t="s">
        <v>29</v>
      </c>
      <c r="E52" s="12">
        <v>90</v>
      </c>
      <c r="F52" s="12">
        <v>99</v>
      </c>
      <c r="G52" s="12">
        <v>98</v>
      </c>
      <c r="H52" s="12">
        <f t="shared" si="0"/>
        <v>287</v>
      </c>
      <c r="I52" s="12">
        <f t="shared" si="1"/>
        <v>95.6666666666667</v>
      </c>
      <c r="J52" s="12">
        <f t="shared" si="4"/>
        <v>1</v>
      </c>
      <c r="K52" s="12">
        <f t="shared" si="2"/>
        <v>4</v>
      </c>
    </row>
    <row r="53" spans="2:11">
      <c r="B53" s="12" t="s">
        <v>126</v>
      </c>
      <c r="C53" s="12" t="s">
        <v>127</v>
      </c>
      <c r="D53" s="12" t="s">
        <v>29</v>
      </c>
      <c r="E53" s="12">
        <v>90</v>
      </c>
      <c r="F53" s="12">
        <v>90</v>
      </c>
      <c r="G53" s="12">
        <v>98</v>
      </c>
      <c r="H53" s="12">
        <f t="shared" si="0"/>
        <v>278</v>
      </c>
      <c r="I53" s="12">
        <f t="shared" si="1"/>
        <v>92.6666666666667</v>
      </c>
      <c r="J53" s="12">
        <f t="shared" si="4"/>
        <v>1</v>
      </c>
      <c r="K53" s="12">
        <f t="shared" si="2"/>
        <v>12</v>
      </c>
    </row>
    <row r="54" spans="2:11">
      <c r="B54" s="12" t="s">
        <v>128</v>
      </c>
      <c r="C54" s="12" t="s">
        <v>129</v>
      </c>
      <c r="D54" s="12" t="s">
        <v>26</v>
      </c>
      <c r="E54" s="12">
        <v>89</v>
      </c>
      <c r="F54" s="12">
        <v>88</v>
      </c>
      <c r="G54" s="12">
        <v>90</v>
      </c>
      <c r="H54" s="12">
        <f t="shared" si="0"/>
        <v>267</v>
      </c>
      <c r="I54" s="12">
        <f t="shared" si="1"/>
        <v>89</v>
      </c>
      <c r="J54" s="12">
        <f t="shared" si="4"/>
        <v>0</v>
      </c>
      <c r="K54" s="12">
        <f t="shared" si="2"/>
        <v>27</v>
      </c>
    </row>
    <row r="55" spans="2:11">
      <c r="B55" s="12" t="s">
        <v>130</v>
      </c>
      <c r="C55" s="12" t="s">
        <v>131</v>
      </c>
      <c r="D55" s="12" t="s">
        <v>26</v>
      </c>
      <c r="E55" s="12">
        <v>78</v>
      </c>
      <c r="F55" s="12">
        <v>98</v>
      </c>
      <c r="G55" s="12">
        <v>88</v>
      </c>
      <c r="H55" s="12">
        <f t="shared" si="0"/>
        <v>264</v>
      </c>
      <c r="I55" s="12">
        <f t="shared" si="1"/>
        <v>88</v>
      </c>
      <c r="J55" s="12">
        <f t="shared" si="4"/>
        <v>0</v>
      </c>
      <c r="K55" s="12">
        <f t="shared" si="2"/>
        <v>33</v>
      </c>
    </row>
    <row r="56" spans="2:11">
      <c r="B56" s="12" t="s">
        <v>132</v>
      </c>
      <c r="C56" s="12" t="s">
        <v>133</v>
      </c>
      <c r="D56" s="12" t="s">
        <v>26</v>
      </c>
      <c r="E56" s="12">
        <v>87</v>
      </c>
      <c r="F56" s="12">
        <v>83</v>
      </c>
      <c r="G56" s="12">
        <v>90</v>
      </c>
      <c r="H56" s="12">
        <f t="shared" si="0"/>
        <v>260</v>
      </c>
      <c r="I56" s="12">
        <f t="shared" si="1"/>
        <v>86.6666666666667</v>
      </c>
      <c r="J56" s="12">
        <f t="shared" si="4"/>
        <v>0</v>
      </c>
      <c r="K56" s="12">
        <f t="shared" si="2"/>
        <v>40</v>
      </c>
    </row>
    <row r="57" spans="2:11">
      <c r="B57" s="12" t="s">
        <v>134</v>
      </c>
      <c r="C57" s="12" t="s">
        <v>135</v>
      </c>
      <c r="D57" s="12" t="s">
        <v>21</v>
      </c>
      <c r="E57" s="12">
        <v>77</v>
      </c>
      <c r="F57" s="12">
        <v>88</v>
      </c>
      <c r="G57" s="12">
        <v>99</v>
      </c>
      <c r="H57" s="12">
        <f t="shared" si="0"/>
        <v>264</v>
      </c>
      <c r="I57" s="12">
        <f t="shared" si="1"/>
        <v>88</v>
      </c>
      <c r="J57" s="12">
        <f t="shared" si="4"/>
        <v>0</v>
      </c>
      <c r="K57" s="12">
        <f t="shared" si="2"/>
        <v>33</v>
      </c>
    </row>
    <row r="58" spans="2:11">
      <c r="E58">
        <f>AVERAGE(E3:E57)</f>
        <v>88.7358490566038</v>
      </c>
      <c r="F58">
        <f>AVERAGE(F3:F57)</f>
        <v>88.0377358490566</v>
      </c>
      <c r="G58">
        <f>AVERAGE(G3:G57)</f>
        <v>88.5660377358491</v>
      </c>
      <c r="H58">
        <f>SUM(H5:H57)</f>
        <v>14063</v>
      </c>
      <c r="I58">
        <f>AVERAGE(I5:I57)</f>
        <v>88.4465408805032</v>
      </c>
      <c r="J58" s="12">
        <f t="shared" si="4"/>
        <v>0</v>
      </c>
    </row>
  </sheetData>
  <pageMargins left="0.75" right="0.75" top="1" bottom="1" header="0.5" footer="0.5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:K1"/>
  <sheetViews>
    <sheetView zoomScale="70" zoomScaleNormal="70" workbookViewId="0">
      <selection activeCell="X19" sqref="X19"/>
    </sheetView>
  </sheetViews>
  <sheetFormatPr defaultColWidth="9.14285714285714" defaultRowHeight="15"/>
  <cols>
    <col min="1" max="16384" width="9.14285714285714" style="8"/>
  </cols>
  <sheetData>
    <row r="1" s="7" customFormat="1" ht="47" customHeight="1" spans="8:11">
      <c r="H1" s="9"/>
      <c r="I1" s="9"/>
      <c r="J1" s="9"/>
      <c r="K1" s="10" t="s">
        <v>136</v>
      </c>
    </row>
  </sheetData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5"/>
  <sheetViews>
    <sheetView showGridLines="0" tabSelected="1" topLeftCell="A6" workbookViewId="0">
      <selection activeCell="K24" sqref="K24"/>
    </sheetView>
  </sheetViews>
  <sheetFormatPr defaultColWidth="9.14285714285714" defaultRowHeight="15"/>
  <cols>
    <col min="1" max="6" width="9.14285714285714" style="1"/>
    <col min="7" max="7" width="12.2857142857143" style="1" customWidth="1"/>
    <col min="8" max="16384" width="9.14285714285714" style="1"/>
  </cols>
  <sheetData>
    <row r="2" ht="31.5" spans="2:10">
      <c r="G2" s="2" t="s">
        <v>137</v>
      </c>
    </row>
    <row r="4" spans="2:10">
      <c r="B4" s="1" t="s">
        <v>138</v>
      </c>
    </row>
    <row r="5" spans="2:10">
      <c r="B5" s="1" t="s">
        <v>139</v>
      </c>
    </row>
    <row r="7" spans="2:10">
      <c r="B7" s="1" t="s">
        <v>140</v>
      </c>
      <c r="J7" s="1" t="s">
        <v>141</v>
      </c>
    </row>
    <row r="8" spans="2:10">
      <c r="B8" s="1" t="s">
        <v>142</v>
      </c>
    </row>
    <row r="10" spans="2:10">
      <c r="B10" s="1" t="s">
        <v>143</v>
      </c>
    </row>
    <row r="11" spans="2:10">
      <c r="B11" s="1" t="s">
        <v>144</v>
      </c>
    </row>
    <row r="13" spans="2:10">
      <c r="B13" s="1" t="s">
        <v>145</v>
      </c>
    </row>
    <row r="15" spans="2:10">
      <c r="B15" s="1" t="s">
        <v>146</v>
      </c>
    </row>
    <row r="16" spans="2:10">
      <c r="B16" s="1" t="s">
        <v>147</v>
      </c>
    </row>
    <row r="19" ht="26.25" spans="2:16">
      <c r="G19" s="3" t="s">
        <v>148</v>
      </c>
    </row>
    <row r="21" spans="2:16">
      <c r="B21" s="1" t="s">
        <v>149</v>
      </c>
      <c r="F21" s="4"/>
      <c r="P21" s="5"/>
    </row>
    <row r="22" spans="2:16">
      <c r="B22" s="1" t="s">
        <v>150</v>
      </c>
    </row>
    <row r="25" spans="2:16">
      <c r="B25" s="6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Top 5 Students</vt:lpstr>
      <vt:lpstr>Average students</vt:lpstr>
      <vt:lpstr> highest performing state</vt:lpstr>
      <vt:lpstr>State student coming from</vt:lpstr>
      <vt:lpstr>Subject</vt:lpstr>
      <vt:lpstr>marks above 90</vt:lpstr>
      <vt:lpstr>Student Database</vt:lpstr>
      <vt:lpstr>Report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2026-05-06T18:34:00Z</dcterms:created>
  <dcterms:modified xsi:type="dcterms:W3CDTF">2026-05-07T11:13:21Z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BB52723762F64CE392585EDDA3692A40_13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